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30" windowWidth="15600" windowHeight="6855" firstSheet="1" activeTab="7"/>
  </bookViews>
  <sheets>
    <sheet name="Revision" sheetId="10" r:id="rId1"/>
    <sheet name="Help" sheetId="3" r:id="rId2"/>
    <sheet name="Inputs" sheetId="2" r:id="rId3"/>
    <sheet name="Data1" sheetId="6" r:id="rId4"/>
    <sheet name="Data2" sheetId="7" r:id="rId5"/>
    <sheet name="Temp" sheetId="8" r:id="rId6"/>
    <sheet name="Correction" sheetId="9" r:id="rId7"/>
    <sheet name="Data3" sheetId="11" r:id="rId8"/>
    <sheet name="PlateDetails" sheetId="12" r:id="rId9"/>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<sst xmlns="http://schemas.openxmlformats.org/spreadsheetml/2006/main" count="647" uniqueCount="276">
  <si>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</si>
  <si>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</si>
  <si>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</si>
  <si>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</si>
  <si>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</si>
  <si>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</si>
  <si>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</si>
  <si>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</si>
  <si>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</si>
  <si>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</si>
  <si>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</si>
  <si>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</si>
  <si>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</si>
  <si>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</si>
  <si>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</si>
  <si>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</si>
  <si>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</si>
  <si>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</si>
  <si>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</si>
  <si>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</si>
  <si>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</si>
  <si>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</si>
  <si>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</si>
  <si>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</si>
  <si>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</si>
  <si>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</si>
  <si>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</si>
  <si>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</si>
  <si>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</si>
  <si>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</si>
  <si>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</si>
  <si>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</si>
  <si>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</si>
  <si>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</si>
  <si>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</si>
  <si>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</si>
  <si>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</si>
  <si>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</si>
  <si>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</si>
  <si>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</si>
  <si>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</si>
  <si>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</si>
  <si>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</si>
  <si>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</si>
  <si>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</si>
  <si>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</si>
  <si>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</si>
  <si>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</si>
  <si>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</si>
  <si>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</si>
  <si>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</si>
  <si>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</si>
  <si>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</si>
  <si>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</si>
  <si>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</si>
  <si>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</si>
  <si>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</si>
  <si>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</si>
  <si>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</si>
  <si>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</si>
  <si>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</si>
  <si>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</si>
  <si>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</si>
  <si>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</si>
  <si>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</si>
  <si>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</si>
  <si>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</si>
  <si>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</si>
  <si>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</si>
  <si>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</si>
  <si>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</si>
  <si>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</si>
  <si>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</si>
  <si>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</si>
  <si>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</si>
  <si>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</si>
  <si>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</si>
  <si>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</si>
  <si>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</si>
  <si>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</si>
  <si>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</si>
  <si>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</si>
  <si>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</si>
  <si>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</si>
  <si>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</si>
  <si>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</si>
  <si>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</si>
  <si>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</si>
  <si>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</si>
  <si>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</si>
  <si>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</si>
  <si>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</si>
  <si>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</si>
  <si>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</si>
  <si>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</si>
  <si>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</si>
  <si>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</si>
  <si>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</si>
  <si>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</si>
  <si>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</si>
  <si>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</si>
  <si>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</si>
  <si>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</si>
  <si>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</si>
  <si>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</si>
  <si>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</si>
  <si>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</si>
  <si>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</si>
  <si>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</si>
  <si>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</si>
  <si>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</si>
  <si>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</si>
  <si>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</si>
  <si>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</si>
  <si>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</si>
  <si>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</si>
  <si>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</si>
  <si>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</si>
  <si>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</si>
  <si>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</si>
  <si>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</si>
  <si>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</si>
  <si>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</si>
  <si>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</si>
  <si>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</si>
  <si>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</si>
  <si>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</si>
  <si>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</si>
  <si>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</si>
  <si>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</si>
  <si>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</si>
  <si>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</si>
  <si>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</si>
  <si>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</si>
  <si>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</si>
  <si>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</si>
  <si>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</si>
  <si>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</si>
  <si>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</si>
  <si>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</si>
  <si>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</si>
  <si>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</si>
  <si>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</si>
  <si>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</si>
  <si>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</si>
  <si>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</si>
  <si>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</si>
  <si>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</si>
  <si>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</si>
  <si>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</si>
  <si>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</si>
  <si>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</si>
  <si>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</si>
  <si>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</si>
  <si>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</si>
  <si>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</si>
  <si>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</si>
  <si>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</si>
  <si>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</si>
  <si>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</si>
  <si>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</si>
  <si>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</si>
  <si>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</si>
  <si>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</si>
  <si>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</si>
  <si>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</si>
  <si>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</si>
  <si>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</si>
  <si>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</si>
  <si>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</si>
  <si>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</si>
  <si>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</si>
  <si>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</si>
  <si>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</si>
  <si>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</si>
  <si>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</si>
  <si>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</si>
  <si>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</si>
  <si>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</si>
  <si>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</si>
  <si>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</si>
  <si>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</si>
  <si>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</si>
  <si>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</si>
  <si>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</si>
  <si>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</si>
  <si>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</si>
  <si>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</si>
  <si>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</si>
  <si>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</si>
  <si>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</si>
  <si>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</si>
  <si>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000483732412</t>
  </si>
  <si>
    <t>00847820</t>
  </si>
  <si>
    <t>00053582</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</si>
  <si>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</si>
  <si>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</si>
  <si>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</si>
  <si>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</si>
  <si>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</si>
  <si>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</si>
  <si>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</si>
  <si>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</si>
  <si>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</si>
  <si>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</si>
  <si>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</si>
  <si>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</si>
  <si>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</si>
  <si>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</si>
  <si>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</si>
  <si>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</si>
  <si>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</si>
  <si>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</si>
  <si>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</si>
  <si>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</si>
  <si>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</si>
  <si>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</si>
  <si>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</si>
  <si>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</si>
  <si>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</si>
  <si>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</si>
  <si>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</si>
  <si>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</si>
  <si>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</si>
  <si>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</si>
  <si>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</si>
  <si>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</si>
  <si>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</si>
  <si>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</si>
  <si>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</si>
  <si>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</si>
  <si>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</si>
  <si>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</si>
  <si>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</si>
  <si>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</si>
  <si>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</si>
  <si>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</si>
  <si>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</si>
  <si>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</si>
  <si>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</si>
  <si>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</si>
  <si>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</si>
  <si>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</si>
  <si>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</si>
  <si>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</si>
  <si>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</si>
  <si>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</si>
  <si>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</si>
  <si>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</si>
  <si>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</si>
  <si>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</si>
  <si>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</si>
  <si>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</si>
  <si>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</si>
  <si>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</si>
  <si>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</si>
  <si>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</si>
  <si>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</si>
  <si>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</si>
  <si>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</si>
  <si>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</si>
  <si>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</si>
  <si>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</si>
  <si>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</si>
  <si>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</si>
  <si>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</si>
  <si>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</si>
  <si>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SJTA</t>
  </si>
  <si>
    <t>NOR</t>
  </si>
  <si>
    <t>40</t>
  </si>
  <si>
    <t>2019</t>
  </si>
  <si>
    <t>20190313</t>
  </si>
  <si>
    <t>20</t>
  </si>
  <si>
    <t>152559</t>
  </si>
  <si>
    <t>v20190405040000791.tr</t>
  </si>
  <si>
    <t>94268139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</si>
</sst>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numFmtId="0" fontId="0" fillId="0" borderId="0"/>
  </cellStyleXfs>
  <cellXfs count="66">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4" borderId="1" xfId="0" quotePrefix="1" applyFill="1" applyBorder="1" applyAlignment="1">
      <alignment horizontal="center" wrapText="1"/>
    </xf>
    <xf numFmtId="49" fontId="7" fillId="7" borderId="0" xfId="0" applyNumberFormat="1" applyFont="1" applyFill="1"/>
    <xf numFmtId="49" fontId="0" fillId="8" borderId="0" xfId="0" applyNumberFormat="1" applyFill="1" applyAlignment="1">
      <alignment horizontal="left"/>
    </xf>
    <xf numFmtId="49" fontId="0" fillId="8" borderId="0" xfId="0" applyNumberFormat="1" applyFill="1"/>
    <xf numFmtId="49" fontId="7" fillId="9" borderId="0" xfId="0" applyNumberFormat="1" applyFont="1" applyFill="1"/>
    <xf numFmtId="49" fontId="0" fillId="10" borderId="1" xfId="0" applyNumberFormat="1" applyFill="1" applyBorder="1" applyAlignment="1">
      <alignment horizontal="left"/>
    </xf>
    <xf numFmtId="49" fontId="7" fillId="9" borderId="6" xfId="0" applyNumberFormat="1" applyFont="1" applyFill="1" applyBorder="1"/>
    <xf numFmtId="0" fontId="7" fillId="9" borderId="0" xfId="0" applyFont="1" applyFill="1" applyBorder="1"/>
    <xf numFmtId="49" fontId="0" fillId="10" borderId="0" xfId="0" applyNumberFormat="1" applyFill="1"/>
    <xf numFmtId="49" fontId="0" fillId="10" borderId="1" xfId="0" quotePrefix="1" applyNumberFormat="1" applyFill="1" applyBorder="1" applyAlignment="1">
      <alignment horizontal="left"/>
    </xf>
    <xf numFmtId="0" fontId="0" fillId="10" borderId="0" xfId="0" quotePrefix="1" applyFill="1"/>
    <xf numFmtId="49" fontId="8" fillId="11" borderId="0" xfId="0" applyNumberFormat="1" applyFont="1" applyFill="1"/>
    <xf numFmtId="49" fontId="0" fillId="12" borderId="0" xfId="0" applyNumberFormat="1" applyFill="1"/>
    <xf numFmtId="49" fontId="0" fillId="13" borderId="1" xfId="0" applyNumberFormat="1" applyFill="1" applyBorder="1"/>
    <xf numFmtId="49" fontId="7" fillId="11" borderId="1" xfId="0" applyNumberFormat="1" applyFont="1" applyFill="1" applyBorder="1"/>
    <xf numFmtId="0" fontId="0" fillId="2" borderId="1" xfId="0" applyFill="1" applyBorder="1" applyAlignment="1">
      <alignment horizontal="center"/>
    </xf>
    <xf numFmtId="0" fontId="0" fillId="4" borderId="1" xfId="0" applyFill="1" applyBorder="1" applyAlignment="1">
      <alignment horizontal="center"/>
    </xf>
    <xf numFmtId="0" fontId="10" fillId="4" borderId="1" xfId="0" quotePrefix="1" applyFont="1" applyFill="1" applyBorder="1" applyAlignment="1">
      <alignment horizontal="center"/>
    </xf>
    <xf numFmtId="20" fontId="0" fillId="4" borderId="1" xfId="0" applyNumberFormat="1" applyFill="1" applyBorder="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xf numFmtId="49" fontId="9" fillId="8" borderId="0" xfId="0" applyNumberFormat="1" applyFont="1" applyFill="1" applyAlignment="1">
      <alignment horizontal="center"/>
    </xf>
    <xf numFmtId="0" fontId="9" fillId="0" borderId="0" xfId="0" applyFont="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id="2069" name="Button 21" hidden="1">
              <a:extLst>
                <a:ext uri="{63B3BB69-23CF-44E3-9099-C40C66FF867C}">
                  <a14:compatExt spid="_x0000_s20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 To File</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lapsed="1"/>
    <col min="3" max="3" width="12.42578125" customWidth="1" collapsed="1"/>
    <col min="4" max="4" width="119.42578125" customWidth="1" collapsed="1"/>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lapsed="1"/>
    <col min="2" max="2" width="181.140625" style="25" customWidth="1" collapsed="1"/>
  </cols>
  <sheetData>
    <row r="1" spans="1:27" ht="30" x14ac:dyDescent="0.25">
      <c r="A1" s="1"/>
      <c r="B1" s="25" t="s">
        <v>57</v>
      </c>
      <c r="C1" s="1"/>
      <c r="I1" s="1"/>
      <c r="J1" s="1"/>
      <c r="R1" s="1"/>
      <c r="S1" s="1"/>
      <c r="T1" s="1"/>
      <c r="V1" s="1"/>
      <c r="W1" s="1"/>
      <c r="X1" s="1"/>
      <c r="Y1" s="1"/>
      <c r="AA1" s="1"/>
    </row>
    <row r="2" spans="1:27" ht="30" x14ac:dyDescent="0.25">
      <c r="A2" s="1"/>
      <c r="B2" s="25" t="s">
        <v>58</v>
      </c>
      <c r="C2" s="1"/>
      <c r="I2" s="1"/>
      <c r="J2" s="1"/>
      <c r="R2" s="1"/>
      <c r="S2" s="1"/>
      <c r="T2" s="1"/>
      <c r="V2" s="1"/>
      <c r="W2" s="1"/>
      <c r="X2" s="1"/>
      <c r="Y2" s="1"/>
      <c r="AA2" s="1"/>
    </row>
    <row r="3" spans="1:27" ht="45" x14ac:dyDescent="0.25">
      <c r="A3" s="1"/>
      <c r="B3" s="25" t="s">
        <v>63</v>
      </c>
      <c r="C3" s="1"/>
      <c r="I3" s="1"/>
      <c r="J3" s="1"/>
      <c r="R3" s="1"/>
      <c r="S3" s="1"/>
      <c r="T3" s="1"/>
      <c r="V3" s="1"/>
      <c r="W3" s="1"/>
      <c r="X3" s="1"/>
      <c r="Y3" s="1"/>
      <c r="AA3" s="1"/>
    </row>
    <row r="4" spans="1:27" ht="17.25" customHeight="1" x14ac:dyDescent="0.25">
      <c r="A4" s="1"/>
      <c r="B4" s="24" t="s">
        <v>64</v>
      </c>
      <c r="C4" s="1"/>
      <c r="I4" s="1"/>
      <c r="J4" s="1"/>
      <c r="R4" s="1"/>
      <c r="S4" s="1"/>
      <c r="T4" s="1"/>
      <c r="V4" s="1"/>
      <c r="W4" s="1"/>
      <c r="X4" s="1"/>
      <c r="Y4" s="1"/>
      <c r="AA4" s="1"/>
    </row>
    <row r="5" spans="1:27" ht="165"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U79"/>
  <sheetViews>
    <sheetView topLeftCell="F1" workbookViewId="0">
      <selection activeCell="L20" sqref="L20"/>
    </sheetView>
  </sheetViews>
  <sheetFormatPr defaultRowHeight="15" x14ac:dyDescent="0.25"/>
  <cols>
    <col min="2" max="2" width="41.42578125" style="2" customWidth="1" collapsed="1"/>
    <col min="3" max="3" width="16.28515625" style="3" customWidth="1" collapsed="1"/>
    <col min="4" max="4" width="27.140625" style="2" customWidth="1" collapsed="1"/>
    <col min="5" max="5" width="12.85546875" style="3" customWidth="1" collapsed="1"/>
    <col min="6" max="6" width="16.85546875" style="3" customWidth="1" collapsed="1"/>
    <col min="7" max="8" width="14.140625" style="3" customWidth="1" collapsed="1"/>
    <col min="9" max="9" width="14.140625" customWidth="1" collapsed="1"/>
    <col min="10" max="10" width="9.7109375" bestFit="1" customWidth="1" collapsed="1"/>
    <col min="11" max="13" width="19" customWidth="1" collapsed="1"/>
    <col min="14" max="14" width="20.7109375" style="3" customWidth="1" collapsed="1"/>
    <col min="15" max="15" width="28.85546875" style="3" customWidth="1" collapsed="1"/>
    <col min="16" max="16" width="23.5703125" style="3" bestFit="1" customWidth="1" collapsed="1"/>
    <col min="17" max="17" width="24.28515625" style="3" customWidth="1" collapsed="1"/>
    <col min="18" max="19" width="26" style="3" customWidth="1" collapsed="1"/>
    <col min="20" max="20" width="20.7109375" style="3" customWidth="1" collapsed="1"/>
    <col min="21" max="21" width="20.42578125" style="3" customWidth="1" collapsed="1"/>
    <col min="22" max="23" width="19.42578125" style="3" customWidth="1" collapsed="1"/>
    <col min="24" max="24" width="18.28515625" style="3" customWidth="1" collapsed="1"/>
    <col min="25" max="25" width="17.28515625" style="3" customWidth="1" collapsed="1"/>
    <col min="26" max="26" width="20.28515625" style="3" customWidth="1" collapsed="1"/>
    <col min="27" max="27" width="15.85546875" style="3" bestFit="1" customWidth="1" collapsed="1"/>
    <col min="28" max="28" width="9.85546875" style="3" bestFit="1" customWidth="1" collapsed="1"/>
    <col min="29" max="29" width="17.85546875" style="3" bestFit="1" customWidth="1" collapsed="1"/>
    <col min="30" max="30" width="33.85546875" style="3" bestFit="1" customWidth="1" collapsed="1"/>
    <col min="31" max="31" width="17.85546875" style="3" customWidth="1" collapsed="1"/>
    <col min="32" max="32" width="14.7109375" style="3" customWidth="1" collapsed="1"/>
    <col min="33" max="33" width="9.140625" customWidth="1" collapsed="1"/>
    <col min="34" max="34" width="18.7109375" bestFit="1" customWidth="1" collapsed="1"/>
    <col min="35" max="35" width="33.85546875" bestFit="1" customWidth="1" collapsed="1"/>
    <col min="36" max="36" width="17.7109375" bestFit="1" customWidth="1" collapsed="1"/>
    <col min="37" max="38" width="9.140625" customWidth="1" collapsed="1"/>
    <col min="39" max="64" width="9.140625" hidden="1" customWidth="1" collapsed="1"/>
    <col min="65" max="65" width="11.140625" customWidth="1" collapsed="1"/>
    <col min="66" max="66" width="12.28515625" customWidth="1" collapsed="1"/>
    <col min="67" max="67" width="12.42578125" customWidth="1" collapsed="1"/>
    <col min="69" max="69" width="11.85546875" customWidth="1" collapsed="1"/>
    <col min="70" max="70" width="13.7109375" customWidth="1" collapsed="1"/>
    <col min="73" max="73" width="9.7109375" bestFit="1" customWidth="1" collapsed="1"/>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269</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271</v>
      </c>
      <c r="BN4" s="17" t="s">
        <v>188</v>
      </c>
      <c r="BO4" s="17">
        <v>20</v>
      </c>
      <c r="BQ4" t="s">
        <v>271</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r="32" spans="1:71" ht="15.75"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r="33" spans="1:32" ht="15.75"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r="34" spans="1:32" ht="15.75"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r="35" spans="1:32" ht="15.75"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r="36" spans="1:32" ht="15.75"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r="37" spans="1:32" ht="15.75"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r="38" spans="1:32" ht="15.75"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r="39" spans="1:32" ht="15.75"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r="40" spans="1:32" ht="15.75"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type="list" allowBlank="1" showInputMessage="1" showErrorMessage="1" sqref="O16:O17">
      <formula1>$B$70:$B$85</formula1>
    </dataValidation>
    <dataValidation type="list" allowBlank="1" showInputMessage="1" showErrorMessage="1" sqref="N14:N17">
      <formula1>$A$70:$A$85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mc:AlternateContent xmlns:mc="http://schemas.openxmlformats.org/markup-compatibility/2006">
          <mc:Choice Requires="x14">
            <control shapeId="2069" r:id="rId5" name="Button 21">
              <controlPr defaultSize="0" print="0" autoFill="0" autoPict="0" macro="[0]!ImportData">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T1002"/>
  <sheetViews>
    <sheetView workbookViewId="0">
      <selection activeCell="I9" sqref="I9"/>
    </sheetView>
  </sheetViews>
  <sheetFormatPr defaultRowHeight="15" x14ac:dyDescent="0.25"/>
  <cols>
    <col min="1" max="1" width="11" bestFit="1" customWidth="1" collapsed="1"/>
    <col min="2" max="2" width="7" customWidth="1" collapsed="1"/>
    <col min="3" max="3" width="5" bestFit="1" customWidth="1" collapsed="1"/>
    <col min="4" max="4" width="13.140625" bestFit="1" customWidth="1" collapsed="1"/>
    <col min="5" max="5" width="4.140625" bestFit="1" customWidth="1" collapsed="1"/>
    <col min="6" max="6" width="5.85546875" bestFit="1" customWidth="1" collapsed="1"/>
    <col min="7" max="7" width="17.28515625" bestFit="1" customWidth="1" collapsed="1"/>
    <col min="8" max="8" width="8.140625" bestFit="1" customWidth="1" collapsed="1"/>
    <col min="9" max="10" width="9" bestFit="1" customWidth="1" collapsed="1"/>
    <col min="11" max="11" width="10.7109375" bestFit="1" customWidth="1" collapsed="1"/>
    <col min="12" max="12" width="14.5703125" customWidth="1" collapsed="1"/>
    <col min="13" max="13" width="17.28515625" bestFit="1" customWidth="1" collapsed="1"/>
    <col min="14" max="14" width="5" bestFit="1" customWidth="1" collapsed="1"/>
    <col min="15" max="15" width="3" bestFit="1" customWidth="1" collapsed="1"/>
    <col min="16" max="16" width="9" bestFit="1" customWidth="1" collapsed="1"/>
    <col min="17" max="18" width="3" bestFit="1" customWidth="1" collapsed="1"/>
    <col min="19" max="19" width="4" bestFit="1" customWidth="1" collapsed="1"/>
    <col min="20" max="20" width="14.42578125" customWidth="1" collapsed="1"/>
    <col min="23" max="23" width="12.7109375" bestFit="1" customWidth="1" collapsed="1"/>
    <col min="24" max="24" width="21.5703125" customWidth="1" collapsed="1"/>
    <col min="37" max="37" width="9.42578125" bestFit="1" customWidth="1" collapsed="1"/>
  </cols>
  <sheetData>
    <row r="1" spans="1:4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195</v>
      </c>
      <c r="C3" s="1" t="s">
        <v>93</v>
      </c>
      <c r="D3" s="1" t="s">
        <v>190</v>
      </c>
      <c r="E3" s="1" t="s">
        <v>191</v>
      </c>
      <c r="F3" s="1" t="s">
        <v>89</v>
      </c>
      <c r="G3" s="1" t="s">
        <v>260</v>
      </c>
      <c r="H3" s="1" t="s">
        <v>100</v>
      </c>
      <c r="I3" s="1" t="s">
        <v>153</v>
      </c>
      <c r="J3" s="1" t="s">
        <v>154</v>
      </c>
      <c r="K3" s="1" t="s">
        <v>186</v>
      </c>
      <c r="L3" s="1" t="s">
        <v>133</v>
      </c>
      <c r="M3" s="1" t="s">
        <v>261</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195</v>
      </c>
      <c r="C4" s="1" t="s">
        <v>93</v>
      </c>
      <c r="D4" s="1" t="s">
        <v>192</v>
      </c>
      <c r="E4" s="1" t="s">
        <v>191</v>
      </c>
      <c r="F4" s="1" t="s">
        <v>89</v>
      </c>
      <c r="G4" s="1" t="s">
        <v>262</v>
      </c>
      <c r="H4" s="1" t="s">
        <v>100</v>
      </c>
      <c r="I4" s="1" t="s">
        <v>193</v>
      </c>
      <c r="J4" s="1" t="s">
        <v>194</v>
      </c>
      <c r="K4" s="1" t="s">
        <v>186</v>
      </c>
      <c r="L4" s="1" t="s">
        <v>133</v>
      </c>
      <c r="M4" s="1" t="s">
        <v>263</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B4" sqref="B3:B4"/>
    </sheetView>
  </sheetViews>
  <sheetFormatPr defaultRowHeight="15" x14ac:dyDescent="0.25"/>
  <cols>
    <col min="1" max="1" width="14.7109375" customWidth="1" collapsed="1"/>
  </cols>
  <sheetData>
    <row r="2" spans="1:5" x14ac:dyDescent="0.25">
      <c r="A2" s="1" t="s">
        <v>28</v>
      </c>
      <c r="B2" s="1" t="s">
        <v>195</v>
      </c>
      <c r="E2" s="1"/>
    </row>
    <row r="3" spans="1:5" x14ac:dyDescent="0.25">
      <c r="A3" t="s">
        <v>3</v>
      </c>
      <c r="B3" s="1" t="s">
        <v>177</v>
      </c>
      <c r="E3" s="1"/>
    </row>
    <row r="4" spans="1:5" x14ac:dyDescent="0.25">
      <c r="A4" t="s">
        <v>21</v>
      </c>
      <c r="B4" s="1" t="s">
        <v>264</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lapsed="1"/>
    <col min="2" max="2" width="16" customWidth="1" collapsed="1"/>
    <col min="9" max="9" width="41.140625" customWidth="1" collapsed="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t="shared" ref="I44:I92" si="0">CONCATENATE("=",E44,F44,G44,H44)</f>
        <v>=Inputs!N$2</v>
      </c>
    </row>
    <row r="45" spans="1:9" x14ac:dyDescent="0.25">
      <c r="A45" s="3">
        <f>Inputs!AG$2</f>
        <v>35</v>
      </c>
      <c r="D45">
        <v>3</v>
      </c>
      <c r="E45" t="s">
        <v>32</v>
      </c>
      <c r="G45" t="s">
        <v>35</v>
      </c>
      <c r="H45" s="23" t="s">
        <v>56</v>
      </c>
      <c r="I45" t="str">
        <f t="shared" si="0"/>
        <v>=Inputs!O$2</v>
      </c>
    </row>
    <row r="46" spans="1:9" x14ac:dyDescent="0.25">
      <c r="A46" s="3">
        <f>Inputs!AH$2</f>
        <v>39</v>
      </c>
      <c r="D46">
        <v>4</v>
      </c>
      <c r="E46" t="s">
        <v>32</v>
      </c>
      <c r="G46" t="s">
        <v>36</v>
      </c>
      <c r="H46" s="23" t="s">
        <v>56</v>
      </c>
      <c r="I46" t="str">
        <f t="shared" si="0"/>
        <v>=Inputs!P$2</v>
      </c>
    </row>
    <row r="47" spans="1:9" x14ac:dyDescent="0.25">
      <c r="A47" s="3">
        <f>Inputs!AI$2</f>
        <v>44</v>
      </c>
      <c r="D47">
        <v>5</v>
      </c>
      <c r="E47" t="s">
        <v>32</v>
      </c>
      <c r="G47" t="s">
        <v>37</v>
      </c>
      <c r="H47" s="23" t="s">
        <v>56</v>
      </c>
      <c r="I47" t="str">
        <f t="shared" si="0"/>
        <v>=Inputs!Q$2</v>
      </c>
    </row>
    <row r="48" spans="1:9" x14ac:dyDescent="0.25">
      <c r="A48" s="3">
        <f>Inputs!AJ$2</f>
        <v>45</v>
      </c>
      <c r="D48">
        <v>6</v>
      </c>
      <c r="E48" t="s">
        <v>32</v>
      </c>
      <c r="G48" t="s">
        <v>38</v>
      </c>
      <c r="H48" s="23" t="s">
        <v>56</v>
      </c>
      <c r="I48" t="str">
        <f t="shared" si="0"/>
        <v>=Inputs!R$2</v>
      </c>
    </row>
    <row r="49" spans="1:9" x14ac:dyDescent="0.25">
      <c r="A49" s="3">
        <f>Inputs!AK$2</f>
        <v>46</v>
      </c>
      <c r="D49">
        <v>7</v>
      </c>
      <c r="E49" t="s">
        <v>32</v>
      </c>
      <c r="G49" t="s">
        <v>39</v>
      </c>
      <c r="H49" s="23" t="s">
        <v>56</v>
      </c>
      <c r="I49" t="str">
        <f t="shared" si="0"/>
        <v>=Inputs!S$2</v>
      </c>
    </row>
    <row r="50" spans="1:9" x14ac:dyDescent="0.25">
      <c r="A50" s="3" t="e">
        <f>Inputs!#REF!</f>
        <v>#REF!</v>
      </c>
      <c r="D50">
        <v>8</v>
      </c>
      <c r="E50" t="s">
        <v>32</v>
      </c>
      <c r="G50" t="s">
        <v>40</v>
      </c>
      <c r="H50" s="23" t="s">
        <v>56</v>
      </c>
      <c r="I50" t="str">
        <f t="shared" si="0"/>
        <v>=Inputs!T$2</v>
      </c>
    </row>
    <row r="51" spans="1:9" x14ac:dyDescent="0.25">
      <c r="A51" s="3" t="e">
        <f>Inputs!#REF!</f>
        <v>#REF!</v>
      </c>
      <c r="D51">
        <v>9</v>
      </c>
      <c r="E51" t="s">
        <v>32</v>
      </c>
      <c r="G51" t="s">
        <v>41</v>
      </c>
      <c r="H51" s="23" t="s">
        <v>56</v>
      </c>
      <c r="I51" t="str">
        <f t="shared" si="0"/>
        <v>=Inputs!U$2</v>
      </c>
    </row>
    <row r="52" spans="1:9" x14ac:dyDescent="0.25">
      <c r="A52" s="3" t="e">
        <f>Inputs!#REF!</f>
        <v>#REF!</v>
      </c>
      <c r="D52">
        <v>10</v>
      </c>
      <c r="E52" t="s">
        <v>32</v>
      </c>
      <c r="G52" t="s">
        <v>2</v>
      </c>
      <c r="H52" s="23" t="s">
        <v>56</v>
      </c>
      <c r="I52" t="str">
        <f t="shared" si="0"/>
        <v>=Inputs!V$2</v>
      </c>
    </row>
    <row r="53" spans="1:9" x14ac:dyDescent="0.25">
      <c r="A53" s="3" t="e">
        <f>Inputs!#REF!</f>
        <v>#REF!</v>
      </c>
      <c r="D53">
        <v>11</v>
      </c>
      <c r="E53" t="s">
        <v>32</v>
      </c>
      <c r="G53" t="s">
        <v>42</v>
      </c>
      <c r="H53" s="23" t="s">
        <v>56</v>
      </c>
      <c r="I53" t="str">
        <f t="shared" si="0"/>
        <v>=Inputs!W$2</v>
      </c>
    </row>
    <row r="54" spans="1:9" x14ac:dyDescent="0.25">
      <c r="A54" s="3" t="e">
        <f>Inputs!#REF!</f>
        <v>#REF!</v>
      </c>
      <c r="D54">
        <v>12</v>
      </c>
      <c r="E54" t="s">
        <v>32</v>
      </c>
      <c r="G54" t="s">
        <v>43</v>
      </c>
      <c r="H54" s="23" t="s">
        <v>56</v>
      </c>
      <c r="I54" t="str">
        <f t="shared" si="0"/>
        <v>=Inputs!X$2</v>
      </c>
    </row>
    <row r="55" spans="1:9" x14ac:dyDescent="0.25">
      <c r="A55" s="3" t="e">
        <f>Inputs!#REF!</f>
        <v>#REF!</v>
      </c>
      <c r="D55">
        <v>13</v>
      </c>
      <c r="E55" t="s">
        <v>32</v>
      </c>
      <c r="G55" t="s">
        <v>44</v>
      </c>
      <c r="H55" s="23" t="s">
        <v>56</v>
      </c>
      <c r="I55" t="str">
        <f t="shared" si="0"/>
        <v>=Inputs!Y$2</v>
      </c>
    </row>
    <row r="56" spans="1:9" x14ac:dyDescent="0.25">
      <c r="A56" s="3" t="e">
        <f>Inputs!#REF!</f>
        <v>#REF!</v>
      </c>
      <c r="D56">
        <v>14</v>
      </c>
      <c r="E56" t="s">
        <v>32</v>
      </c>
      <c r="G56" t="s">
        <v>45</v>
      </c>
      <c r="H56" s="23" t="s">
        <v>56</v>
      </c>
      <c r="I56" t="str">
        <f t="shared" si="0"/>
        <v>=Inputs!Z$2</v>
      </c>
    </row>
    <row r="57" spans="1:9" x14ac:dyDescent="0.25">
      <c r="A57" s="3" t="e">
        <f>Inputs!#REF!</f>
        <v>#REF!</v>
      </c>
      <c r="D57">
        <v>15</v>
      </c>
      <c r="E57" t="s">
        <v>32</v>
      </c>
      <c r="F57" t="s">
        <v>46</v>
      </c>
      <c r="G57" t="s">
        <v>46</v>
      </c>
      <c r="H57" s="23" t="s">
        <v>56</v>
      </c>
      <c r="I57" t="str">
        <f t="shared" si="0"/>
        <v>=Inputs!AA$2</v>
      </c>
    </row>
    <row r="58" spans="1:9" x14ac:dyDescent="0.25">
      <c r="A58" s="3">
        <f>Inputs!AO$2</f>
        <v>0</v>
      </c>
      <c r="D58">
        <v>16</v>
      </c>
      <c r="E58" t="s">
        <v>32</v>
      </c>
      <c r="F58" t="s">
        <v>46</v>
      </c>
      <c r="G58" t="s">
        <v>30</v>
      </c>
      <c r="H58" s="23" t="s">
        <v>56</v>
      </c>
      <c r="I58" t="str">
        <f t="shared" si="0"/>
        <v>=Inputs!AB$2</v>
      </c>
    </row>
    <row r="59" spans="1:9" x14ac:dyDescent="0.25">
      <c r="A59" s="3">
        <f>Inputs!AP$2</f>
        <v>0</v>
      </c>
      <c r="D59">
        <v>17</v>
      </c>
      <c r="E59" t="s">
        <v>32</v>
      </c>
      <c r="F59" t="s">
        <v>46</v>
      </c>
      <c r="G59" t="s">
        <v>47</v>
      </c>
      <c r="H59" s="23" t="s">
        <v>56</v>
      </c>
      <c r="I59" t="str">
        <f t="shared" si="0"/>
        <v>=Inputs!AC$2</v>
      </c>
    </row>
    <row r="60" spans="1:9" x14ac:dyDescent="0.25">
      <c r="A60" s="3">
        <f>Inputs!AQ$2</f>
        <v>0</v>
      </c>
      <c r="D60">
        <v>18</v>
      </c>
      <c r="E60" t="s">
        <v>32</v>
      </c>
      <c r="F60" t="s">
        <v>46</v>
      </c>
      <c r="G60" t="s">
        <v>29</v>
      </c>
      <c r="H60" s="23" t="s">
        <v>56</v>
      </c>
      <c r="I60" t="str">
        <f t="shared" si="0"/>
        <v>=Inputs!AD$2</v>
      </c>
    </row>
    <row r="61" spans="1:9" x14ac:dyDescent="0.25">
      <c r="A61" s="3">
        <f>Inputs!AR$2</f>
        <v>0</v>
      </c>
      <c r="D61">
        <v>19</v>
      </c>
      <c r="E61" t="s">
        <v>32</v>
      </c>
      <c r="F61" t="s">
        <v>46</v>
      </c>
      <c r="G61" t="s">
        <v>48</v>
      </c>
      <c r="H61" s="23" t="s">
        <v>56</v>
      </c>
      <c r="I61" t="str">
        <f t="shared" si="0"/>
        <v>=Inputs!AE$2</v>
      </c>
    </row>
    <row r="62" spans="1:9" x14ac:dyDescent="0.25">
      <c r="A62" s="3">
        <f>Inputs!AS$2</f>
        <v>0</v>
      </c>
      <c r="D62">
        <v>20</v>
      </c>
      <c r="E62" t="s">
        <v>32</v>
      </c>
      <c r="F62" t="s">
        <v>46</v>
      </c>
      <c r="G62" t="s">
        <v>49</v>
      </c>
      <c r="H62" s="23" t="s">
        <v>56</v>
      </c>
      <c r="I62" t="str">
        <f t="shared" si="0"/>
        <v>=Inputs!AF$2</v>
      </c>
    </row>
    <row r="63" spans="1:9" x14ac:dyDescent="0.25">
      <c r="A63" s="3">
        <f>Inputs!AT$2</f>
        <v>0</v>
      </c>
      <c r="D63">
        <v>21</v>
      </c>
      <c r="E63" t="s">
        <v>32</v>
      </c>
      <c r="F63" t="s">
        <v>46</v>
      </c>
      <c r="G63" t="s">
        <v>50</v>
      </c>
      <c r="H63" s="23" t="s">
        <v>56</v>
      </c>
      <c r="I63" t="str">
        <f t="shared" si="0"/>
        <v>=Inputs!AG$2</v>
      </c>
    </row>
    <row r="64" spans="1:9" x14ac:dyDescent="0.25">
      <c r="A64" s="3">
        <f>Inputs!AU$2</f>
        <v>0</v>
      </c>
      <c r="D64">
        <v>22</v>
      </c>
      <c r="E64" t="s">
        <v>32</v>
      </c>
      <c r="F64" t="s">
        <v>46</v>
      </c>
      <c r="G64" t="s">
        <v>51</v>
      </c>
      <c r="H64" s="23" t="s">
        <v>56</v>
      </c>
      <c r="I64" t="str">
        <f t="shared" si="0"/>
        <v>=Inputs!AH$2</v>
      </c>
    </row>
    <row r="65" spans="1:9" x14ac:dyDescent="0.25">
      <c r="A65" s="3">
        <f>Inputs!AV$2</f>
        <v>0</v>
      </c>
      <c r="D65">
        <v>23</v>
      </c>
      <c r="E65" t="s">
        <v>32</v>
      </c>
      <c r="F65" t="s">
        <v>46</v>
      </c>
      <c r="G65" t="s">
        <v>52</v>
      </c>
      <c r="H65" s="23" t="s">
        <v>56</v>
      </c>
      <c r="I65" t="str">
        <f t="shared" si="0"/>
        <v>=Inputs!AI$2</v>
      </c>
    </row>
    <row r="66" spans="1:9" x14ac:dyDescent="0.25">
      <c r="A66" s="3">
        <f>Inputs!C17</f>
        <v>1</v>
      </c>
      <c r="D66">
        <v>24</v>
      </c>
      <c r="E66" t="s">
        <v>32</v>
      </c>
      <c r="F66" t="s">
        <v>46</v>
      </c>
      <c r="G66" t="s">
        <v>53</v>
      </c>
      <c r="H66" s="23" t="s">
        <v>56</v>
      </c>
      <c r="I66" t="str">
        <f t="shared" si="0"/>
        <v>=Inputs!AJ$2</v>
      </c>
    </row>
    <row r="67" spans="1:9" x14ac:dyDescent="0.25">
      <c r="A67" s="3">
        <f>Inputs!C18</f>
        <v>3</v>
      </c>
      <c r="D67">
        <v>25</v>
      </c>
      <c r="E67" t="s">
        <v>32</v>
      </c>
      <c r="F67" t="s">
        <v>46</v>
      </c>
      <c r="G67" t="s">
        <v>54</v>
      </c>
      <c r="H67" s="23" t="s">
        <v>56</v>
      </c>
      <c r="I67" t="str">
        <f t="shared" si="0"/>
        <v>=Inputs!AK$2</v>
      </c>
    </row>
    <row r="68" spans="1:9" x14ac:dyDescent="0.25">
      <c r="A68" s="3">
        <f>Inputs!C19</f>
        <v>8</v>
      </c>
      <c r="D68">
        <v>26</v>
      </c>
      <c r="E68" t="s">
        <v>32</v>
      </c>
      <c r="F68" t="s">
        <v>46</v>
      </c>
      <c r="G68" t="s">
        <v>55</v>
      </c>
      <c r="H68" s="23" t="s">
        <v>56</v>
      </c>
      <c r="I68" t="str">
        <f t="shared" si="0"/>
        <v>=Inputs!AL$2</v>
      </c>
    </row>
    <row r="69" spans="1:9" x14ac:dyDescent="0.25">
      <c r="A69" s="3">
        <f>Inputs!C3</f>
        <v>4</v>
      </c>
      <c r="D69">
        <v>27</v>
      </c>
      <c r="E69" t="s">
        <v>32</v>
      </c>
      <c r="F69" t="s">
        <v>46</v>
      </c>
      <c r="G69" t="s">
        <v>33</v>
      </c>
      <c r="H69" s="23" t="s">
        <v>56</v>
      </c>
      <c r="I69" t="str">
        <f t="shared" si="0"/>
        <v>=Inputs!AM$2</v>
      </c>
    </row>
    <row r="70" spans="1:9" x14ac:dyDescent="0.25">
      <c r="A70" s="3">
        <f>Inputs!N$2</f>
        <v>5</v>
      </c>
      <c r="D70">
        <v>28</v>
      </c>
      <c r="E70" t="s">
        <v>32</v>
      </c>
      <c r="F70" t="s">
        <v>46</v>
      </c>
      <c r="G70" t="s">
        <v>34</v>
      </c>
      <c r="H70" s="23" t="s">
        <v>56</v>
      </c>
      <c r="I70" t="str">
        <f t="shared" si="0"/>
        <v>=Inputs!AN$2</v>
      </c>
    </row>
    <row r="71" spans="1:9" x14ac:dyDescent="0.25">
      <c r="A71" s="3">
        <f>Inputs!O$2</f>
        <v>6</v>
      </c>
      <c r="D71">
        <v>29</v>
      </c>
      <c r="E71" t="s">
        <v>32</v>
      </c>
      <c r="F71" t="s">
        <v>46</v>
      </c>
      <c r="G71" t="s">
        <v>35</v>
      </c>
      <c r="H71" s="23" t="s">
        <v>56</v>
      </c>
      <c r="I71" t="str">
        <f t="shared" si="0"/>
        <v>=Inputs!AO$2</v>
      </c>
    </row>
    <row r="72" spans="1:9" x14ac:dyDescent="0.25">
      <c r="A72" s="3">
        <f>Inputs!R$2</f>
        <v>12</v>
      </c>
      <c r="D72">
        <v>30</v>
      </c>
      <c r="E72" t="s">
        <v>32</v>
      </c>
      <c r="F72" t="s">
        <v>46</v>
      </c>
      <c r="G72" t="s">
        <v>36</v>
      </c>
      <c r="H72" s="23" t="s">
        <v>56</v>
      </c>
      <c r="I72" t="str">
        <f t="shared" si="0"/>
        <v>=Inputs!AP$2</v>
      </c>
    </row>
    <row r="73" spans="1:9" x14ac:dyDescent="0.25">
      <c r="A73" s="3" t="e">
        <f>Inputs!#REF!</f>
        <v>#REF!</v>
      </c>
      <c r="D73">
        <v>31</v>
      </c>
      <c r="E73" t="s">
        <v>32</v>
      </c>
      <c r="F73" t="s">
        <v>46</v>
      </c>
      <c r="G73" t="s">
        <v>37</v>
      </c>
      <c r="H73" s="23" t="s">
        <v>56</v>
      </c>
      <c r="I73" t="str">
        <f t="shared" si="0"/>
        <v>=Inputs!AQ$2</v>
      </c>
    </row>
    <row r="74" spans="1:9" x14ac:dyDescent="0.25">
      <c r="A74" s="3">
        <f>Inputs!C4</f>
        <v>9</v>
      </c>
      <c r="D74">
        <v>32</v>
      </c>
      <c r="E74" t="s">
        <v>32</v>
      </c>
      <c r="F74" t="s">
        <v>46</v>
      </c>
      <c r="G74" t="s">
        <v>38</v>
      </c>
      <c r="H74" s="23" t="s">
        <v>56</v>
      </c>
      <c r="I74" t="str">
        <f t="shared" si="0"/>
        <v>=Inputs!AR$2</v>
      </c>
    </row>
    <row r="75" spans="1:9" x14ac:dyDescent="0.25">
      <c r="A75" s="3">
        <f>Inputs!C5</f>
        <v>10</v>
      </c>
      <c r="D75">
        <v>33</v>
      </c>
      <c r="E75" t="s">
        <v>32</v>
      </c>
      <c r="F75" t="s">
        <v>46</v>
      </c>
      <c r="G75" t="s">
        <v>39</v>
      </c>
      <c r="H75" s="23" t="s">
        <v>56</v>
      </c>
      <c r="I75" t="str">
        <f t="shared" si="0"/>
        <v>=Inputs!AS$2</v>
      </c>
    </row>
    <row r="76" spans="1:9" x14ac:dyDescent="0.25">
      <c r="A76" s="3" t="e">
        <f>Inputs!#REF!</f>
        <v>#REF!</v>
      </c>
      <c r="D76">
        <v>34</v>
      </c>
      <c r="E76" t="s">
        <v>32</v>
      </c>
      <c r="F76" t="s">
        <v>46</v>
      </c>
      <c r="G76" t="s">
        <v>40</v>
      </c>
      <c r="H76" s="23" t="s">
        <v>56</v>
      </c>
      <c r="I76" t="str">
        <f t="shared" si="0"/>
        <v>=Inputs!AT$2</v>
      </c>
    </row>
    <row r="77" spans="1:9" x14ac:dyDescent="0.25">
      <c r="A77" s="3" t="str">
        <f>Inputs!B20</f>
        <v>IAG_mapped_class</v>
      </c>
      <c r="D77">
        <v>35</v>
      </c>
      <c r="E77" t="s">
        <v>32</v>
      </c>
      <c r="F77" t="s">
        <v>46</v>
      </c>
      <c r="G77" t="s">
        <v>41</v>
      </c>
      <c r="H77" s="23" t="s">
        <v>56</v>
      </c>
      <c r="I77" t="str">
        <f t="shared" si="0"/>
        <v>=Inputs!AU$2</v>
      </c>
    </row>
    <row r="78" spans="1:9" x14ac:dyDescent="0.25">
      <c r="A78" s="3">
        <f>Inputs!C20</f>
        <v>23</v>
      </c>
      <c r="D78">
        <v>36</v>
      </c>
      <c r="E78" t="s">
        <v>32</v>
      </c>
      <c r="F78" t="s">
        <v>46</v>
      </c>
      <c r="G78" t="s">
        <v>2</v>
      </c>
      <c r="H78" s="23" t="s">
        <v>56</v>
      </c>
      <c r="I78" t="str">
        <f t="shared" si="0"/>
        <v>=Inputs!AV$2</v>
      </c>
    </row>
    <row r="79" spans="1:9" x14ac:dyDescent="0.25">
      <c r="A79" s="3">
        <f>Inputs!C21</f>
        <v>24</v>
      </c>
      <c r="D79">
        <v>37</v>
      </c>
      <c r="E79" t="s">
        <v>32</v>
      </c>
      <c r="F79" t="s">
        <v>46</v>
      </c>
      <c r="G79" t="s">
        <v>42</v>
      </c>
      <c r="H79" s="23" t="s">
        <v>56</v>
      </c>
      <c r="I79" t="str">
        <f t="shared" si="0"/>
        <v>=Inputs!AW$2</v>
      </c>
    </row>
    <row r="80" spans="1:9" x14ac:dyDescent="0.25">
      <c r="A80" s="3">
        <f>Inputs!C22</f>
        <v>25</v>
      </c>
      <c r="D80">
        <v>38</v>
      </c>
      <c r="E80" t="s">
        <v>32</v>
      </c>
      <c r="F80" t="s">
        <v>46</v>
      </c>
      <c r="G80" t="s">
        <v>43</v>
      </c>
      <c r="H80" s="23" t="s">
        <v>56</v>
      </c>
      <c r="I80" t="str">
        <f t="shared" si="0"/>
        <v>=Inputs!AX$2</v>
      </c>
    </row>
    <row r="81" spans="1:9" x14ac:dyDescent="0.25">
      <c r="A81" s="3" t="e">
        <f>Inputs!#REF!</f>
        <v>#REF!</v>
      </c>
      <c r="D81">
        <v>39</v>
      </c>
      <c r="E81" t="s">
        <v>32</v>
      </c>
      <c r="F81" t="s">
        <v>46</v>
      </c>
      <c r="G81" t="s">
        <v>44</v>
      </c>
      <c r="H81" s="23" t="s">
        <v>56</v>
      </c>
      <c r="I81" t="str">
        <f t="shared" si="0"/>
        <v>=Inputs!AY$2</v>
      </c>
    </row>
    <row r="82" spans="1:9" x14ac:dyDescent="0.25">
      <c r="A82" s="3" t="e">
        <f>Inputs!#REF!</f>
        <v>#REF!</v>
      </c>
      <c r="D82">
        <v>40</v>
      </c>
      <c r="E82" t="s">
        <v>32</v>
      </c>
      <c r="F82" t="s">
        <v>46</v>
      </c>
      <c r="G82" t="s">
        <v>45</v>
      </c>
      <c r="H82" s="23" t="s">
        <v>56</v>
      </c>
      <c r="I82" t="str">
        <f t="shared" si="0"/>
        <v>=Inputs!AZ$2</v>
      </c>
    </row>
    <row r="83" spans="1:9" x14ac:dyDescent="0.25">
      <c r="A83" s="3" t="e">
        <f>Inputs!#REF!</f>
        <v>#REF!</v>
      </c>
      <c r="D83">
        <v>41</v>
      </c>
      <c r="E83" t="s">
        <v>32</v>
      </c>
      <c r="F83" t="s">
        <v>30</v>
      </c>
      <c r="G83" t="s">
        <v>46</v>
      </c>
      <c r="H83" s="23" t="s">
        <v>56</v>
      </c>
      <c r="I83" t="str">
        <f t="shared" si="0"/>
        <v>=Inputs!BA$2</v>
      </c>
    </row>
    <row r="84" spans="1:9" x14ac:dyDescent="0.25">
      <c r="A84" s="3" t="e">
        <f>Inputs!#REF!</f>
        <v>#REF!</v>
      </c>
      <c r="D84">
        <v>42</v>
      </c>
      <c r="E84" t="s">
        <v>32</v>
      </c>
      <c r="F84" t="s">
        <v>30</v>
      </c>
      <c r="G84" t="s">
        <v>30</v>
      </c>
      <c r="H84" s="23" t="s">
        <v>56</v>
      </c>
      <c r="I84" t="str">
        <f t="shared" si="0"/>
        <v>=Inputs!BB$2</v>
      </c>
    </row>
    <row r="85" spans="1:9" x14ac:dyDescent="0.25">
      <c r="A85" s="3" t="e">
        <f>Inputs!#REF!</f>
        <v>#REF!</v>
      </c>
      <c r="D85">
        <v>43</v>
      </c>
      <c r="E85" t="s">
        <v>32</v>
      </c>
      <c r="F85" t="s">
        <v>30</v>
      </c>
      <c r="G85" t="s">
        <v>47</v>
      </c>
      <c r="H85" s="23" t="s">
        <v>56</v>
      </c>
      <c r="I85" t="str">
        <f t="shared" si="0"/>
        <v>=Inputs!BC$2</v>
      </c>
    </row>
    <row r="86" spans="1:9" x14ac:dyDescent="0.25">
      <c r="A86" s="3" t="e">
        <f>Inputs!#REF!</f>
        <v>#REF!</v>
      </c>
      <c r="D86">
        <v>44</v>
      </c>
      <c r="E86" t="s">
        <v>32</v>
      </c>
      <c r="F86" t="s">
        <v>30</v>
      </c>
      <c r="G86" t="s">
        <v>29</v>
      </c>
      <c r="H86" s="23" t="s">
        <v>56</v>
      </c>
      <c r="I86" t="str">
        <f t="shared" si="0"/>
        <v>=Inputs!BD$2</v>
      </c>
    </row>
    <row r="87" spans="1:9" x14ac:dyDescent="0.25">
      <c r="A87" s="3" t="e">
        <f>Inputs!#REF!</f>
        <v>#REF!</v>
      </c>
      <c r="D87">
        <v>45</v>
      </c>
      <c r="E87" t="s">
        <v>32</v>
      </c>
      <c r="F87" t="s">
        <v>30</v>
      </c>
      <c r="G87" t="s">
        <v>48</v>
      </c>
      <c r="H87" s="23" t="s">
        <v>56</v>
      </c>
      <c r="I87" t="str">
        <f t="shared" si="0"/>
        <v>=Inputs!BE$2</v>
      </c>
    </row>
    <row r="88" spans="1:9" x14ac:dyDescent="0.25">
      <c r="A88" s="3">
        <f>Inputs!C23</f>
        <v>26</v>
      </c>
      <c r="D88">
        <v>46</v>
      </c>
      <c r="E88" t="s">
        <v>32</v>
      </c>
      <c r="F88" t="s">
        <v>30</v>
      </c>
      <c r="G88" t="s">
        <v>49</v>
      </c>
      <c r="H88" s="23" t="s">
        <v>56</v>
      </c>
      <c r="I88" t="str">
        <f t="shared" si="0"/>
        <v>=Inputs!BF$2</v>
      </c>
    </row>
    <row r="89" spans="1:9" x14ac:dyDescent="0.25">
      <c r="A89" s="3">
        <f>Inputs!C24</f>
        <v>27</v>
      </c>
      <c r="D89">
        <v>47</v>
      </c>
      <c r="E89" t="s">
        <v>32</v>
      </c>
      <c r="F89" t="s">
        <v>30</v>
      </c>
      <c r="G89" t="s">
        <v>50</v>
      </c>
      <c r="H89" s="23" t="s">
        <v>56</v>
      </c>
      <c r="I89" t="str">
        <f t="shared" si="0"/>
        <v>=Inputs!BG$2</v>
      </c>
    </row>
    <row r="90" spans="1:9" x14ac:dyDescent="0.25">
      <c r="A90" s="3" t="e">
        <f>Inputs!#REF!</f>
        <v>#REF!</v>
      </c>
      <c r="D90">
        <v>48</v>
      </c>
      <c r="E90" t="s">
        <v>32</v>
      </c>
      <c r="F90" t="s">
        <v>30</v>
      </c>
      <c r="G90" t="s">
        <v>51</v>
      </c>
      <c r="H90" s="23" t="s">
        <v>56</v>
      </c>
      <c r="I90" t="str">
        <f t="shared" si="0"/>
        <v>=Inputs!BH$2</v>
      </c>
    </row>
    <row r="91" spans="1:9" x14ac:dyDescent="0.25">
      <c r="A91" s="3" t="e">
        <f>Inputs!#REF!</f>
        <v>#REF!</v>
      </c>
      <c r="D91">
        <v>49</v>
      </c>
      <c r="E91" t="s">
        <v>32</v>
      </c>
      <c r="F91" t="s">
        <v>30</v>
      </c>
      <c r="G91" t="s">
        <v>52</v>
      </c>
      <c r="H91" s="23" t="s">
        <v>56</v>
      </c>
      <c r="I91" t="str">
        <f t="shared" si="0"/>
        <v>=Inputs!BI$2</v>
      </c>
    </row>
    <row r="92" spans="1:9" x14ac:dyDescent="0.25">
      <c r="A92" s="3" t="e">
        <f>Inputs!#REF!</f>
        <v>#REF!</v>
      </c>
      <c r="D92">
        <v>50</v>
      </c>
      <c r="E92" t="s">
        <v>32</v>
      </c>
      <c r="F92" t="s">
        <v>30</v>
      </c>
      <c r="G92" t="s">
        <v>53</v>
      </c>
      <c r="H92" s="23" t="s">
        <v>56</v>
      </c>
      <c r="I92" t="str">
        <f t="shared" si="0"/>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election activeCell="H16" sqref="H16"/>
    </sheetView>
  </sheetViews>
  <sheetFormatPr defaultRowHeight="15" x14ac:dyDescent="0.25"/>
  <cols>
    <col min="1" max="1" width="11.85546875" customWidth="1" collapsed="1"/>
    <col min="6" max="7" width="10.28515625" customWidth="1" collapsed="1"/>
    <col min="8" max="8" width="20.28515625" customWidth="1" collapsed="1"/>
    <col min="11" max="11" width="19.42578125" customWidth="1" collapsed="1"/>
    <col min="12" max="12" width="14.85546875" customWidth="1" collapsed="1"/>
    <col min="16" max="16" width="13.7109375" customWidth="1" collapsed="1"/>
    <col min="20" max="20" width="15.7109375" customWidth="1" collapsed="1"/>
    <col min="22" max="22" width="20.5703125" customWidth="1" collapsed="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25"/>
  <sheetViews>
    <sheetView tabSelected="1" workbookViewId="0">
      <selection activeCell="B8" sqref="B8"/>
    </sheetView>
  </sheetViews>
  <sheetFormatPr defaultRowHeight="15" x14ac:dyDescent="0.25"/>
  <cols>
    <col min="1" max="1" width="13.85546875" style="45" bestFit="1" customWidth="1" collapsed="1"/>
    <col min="2" max="2" width="48" style="44" bestFit="1" customWidth="1" collapsed="1"/>
    <col min="3" max="3" width="9.140625" style="45" collapsed="1"/>
    <col min="4" max="4" width="12.85546875" style="45" bestFit="1" customWidth="1" collapsed="1"/>
    <col min="5" max="5" width="29.5703125" style="45" customWidth="1" collapsed="1"/>
    <col min="6" max="7" width="9.140625" style="45" collapsed="1"/>
    <col min="8" max="8" width="21.5703125" style="45" bestFit="1" customWidth="1" collapsed="1"/>
    <col min="9" max="16384" width="9.140625" style="45" collapsed="1"/>
  </cols>
  <sheetData>
    <row r="1" spans="1:9" x14ac:dyDescent="0.25">
      <c r="A1" s="43" t="s">
        <v>159</v>
      </c>
    </row>
    <row r="2" spans="1:9" x14ac:dyDescent="0.25">
      <c r="A2" s="46" t="s">
        <v>160</v>
      </c>
      <c r="B2" s="51" t="s">
        <v>51</v>
      </c>
      <c r="D2" s="46" t="s">
        <v>161</v>
      </c>
      <c r="E2" s="47" t="s">
        <v>40</v>
      </c>
    </row>
    <row r="3" spans="1:9" x14ac:dyDescent="0.25">
      <c r="A3" s="48" t="s">
        <v>162</v>
      </c>
      <c r="B3" t="s">
        <v>272</v>
      </c>
      <c r="D3" s="49" t="s">
        <v>163</v>
      </c>
      <c r="E3" s="50" t="s">
        <v>164</v>
      </c>
    </row>
    <row r="4" spans="1:9" x14ac:dyDescent="0.25">
      <c r="A4" s="48" t="s">
        <v>165</v>
      </c>
      <c r="B4" t="s">
        <v>141</v>
      </c>
    </row>
    <row r="5" spans="1:9" x14ac:dyDescent="0.25">
      <c r="A5" s="48" t="s">
        <v>166</v>
      </c>
      <c r="B5" t="s">
        <v>270</v>
      </c>
    </row>
    <row r="6" spans="1:9" x14ac:dyDescent="0.25">
      <c r="A6" s="48" t="s">
        <v>167</v>
      </c>
      <c r="B6" t="s">
        <v>273</v>
      </c>
    </row>
    <row r="7" spans="1:9" x14ac:dyDescent="0.25">
      <c r="A7" s="48" t="s">
        <v>168</v>
      </c>
      <c r="B7" s="1" t="s">
        <v>275</v>
      </c>
    </row>
    <row r="8" spans="1:9" x14ac:dyDescent="0.25">
      <c r="A8" s="48" t="s">
        <v>169</v>
      </c>
      <c r="B8" s="51" t="s">
        <v>90</v>
      </c>
    </row>
    <row r="9" spans="1:9" x14ac:dyDescent="0.25">
      <c r="A9" s="49" t="s">
        <v>170</v>
      </c>
      <c r="B9" s="1" t="s">
        <v>195</v>
      </c>
    </row>
    <row r="10" spans="1:9" x14ac:dyDescent="0.25">
      <c r="A10" s="46" t="s">
        <v>171</v>
      </c>
      <c r="B10" s="52" t="s">
        <v>264</v>
      </c>
    </row>
    <row r="11" spans="1:9" x14ac:dyDescent="0.25">
      <c r="A11" s="46" t="s">
        <v>172</v>
      </c>
      <c r="B11" s="51"/>
    </row>
    <row r="12" spans="1:9" x14ac:dyDescent="0.25">
      <c r="A12" s="46" t="s">
        <v>175</v>
      </c>
      <c r="B12" s="51" t="s">
        <v>179</v>
      </c>
    </row>
    <row r="13" spans="1:9" x14ac:dyDescent="0.25">
      <c r="E13" s="64" t="s">
        <v>267</v>
      </c>
      <c r="F13" s="65"/>
      <c r="G13" s="65"/>
      <c r="H13" s="65"/>
      <c r="I13" s="65"/>
    </row>
    <row r="14" spans="1:9" x14ac:dyDescent="0.25">
      <c r="A14" s="53" t="s">
        <v>176</v>
      </c>
      <c r="B14" s="1" t="s">
        <v>266</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265</v>
      </c>
    </row>
    <row r="25" spans="1:9" x14ac:dyDescent="0.25">
      <c r="A25" s="53" t="s">
        <v>173</v>
      </c>
      <c r="B25" s="1" t="s">
        <v>274</v>
      </c>
    </row>
  </sheetData>
  <mergeCells count="1">
    <mergeCell ref="E13:I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1"/>
  <sheetViews>
    <sheetView workbookViewId="0">
      <selection activeCell="G27" sqref="G27"/>
    </sheetView>
  </sheetViews>
  <sheetFormatPr defaultRowHeight="15" x14ac:dyDescent="0.25"/>
  <cols>
    <col min="1" max="1" width="13.140625" style="55" bestFit="1" customWidth="1" collapsed="1"/>
    <col min="2" max="2" width="12" style="55" bestFit="1" customWidth="1" collapsed="1"/>
    <col min="3" max="3" width="14.5703125" style="55" bestFit="1" customWidth="1" collapsed="1"/>
    <col min="4" max="4" width="31.85546875" style="54" customWidth="1" collapsed="1"/>
    <col min="5" max="6" width="9.140625" style="54" collapsed="1"/>
    <col min="7" max="7" width="18" style="54" bestFit="1" customWidth="1" collapsed="1"/>
    <col min="8" max="8" width="20.28515625" style="54" bestFit="1" customWidth="1" collapsed="1"/>
    <col min="9" max="16384" width="9.140625" style="54" collapsed="1"/>
  </cols>
  <sheetData>
    <row r="1" spans="1:9" x14ac:dyDescent="0.25">
      <c r="A1" s="56" t="s">
        <v>180</v>
      </c>
      <c r="B1" s="56" t="s">
        <v>181</v>
      </c>
      <c r="C1" s="56" t="s">
        <v>182</v>
      </c>
      <c r="G1" s="56" t="s">
        <v>183</v>
      </c>
      <c r="H1" s="56" t="s">
        <v>184</v>
      </c>
    </row>
    <row r="2" spans="1:9" x14ac:dyDescent="0.25">
      <c r="A2" t="s">
        <v>199</v>
      </c>
      <c r="B2" t="s">
        <v>185</v>
      </c>
      <c r="C2" t="s">
        <v>200</v>
      </c>
      <c r="G2" t="s">
        <v>128</v>
      </c>
      <c r="H2" t="s">
        <v>269</v>
      </c>
      <c r="I2" t="s">
        <v>268</v>
      </c>
    </row>
    <row r="3" spans="1:9" x14ac:dyDescent="0.25">
      <c r="A3" t="s">
        <v>201</v>
      </c>
      <c r="B3" t="s">
        <v>185</v>
      </c>
      <c r="C3" t="s">
        <v>200</v>
      </c>
    </row>
    <row r="4" spans="1:9" x14ac:dyDescent="0.25">
      <c r="A4" t="s">
        <v>202</v>
      </c>
      <c r="B4" t="s">
        <v>185</v>
      </c>
      <c r="C4" t="s">
        <v>200</v>
      </c>
    </row>
    <row r="5" spans="1:9" x14ac:dyDescent="0.25">
      <c r="A5" t="s">
        <v>203</v>
      </c>
      <c r="B5" t="s">
        <v>185</v>
      </c>
      <c r="C5" t="s">
        <v>200</v>
      </c>
    </row>
    <row r="6" spans="1:9" x14ac:dyDescent="0.25">
      <c r="A6" t="s">
        <v>204</v>
      </c>
      <c r="B6" t="s">
        <v>185</v>
      </c>
      <c r="C6" t="s">
        <v>205</v>
      </c>
    </row>
    <row r="7" spans="1:9" x14ac:dyDescent="0.25">
      <c r="A7" t="s">
        <v>206</v>
      </c>
      <c r="B7" t="s">
        <v>185</v>
      </c>
      <c r="C7" t="s">
        <v>205</v>
      </c>
    </row>
    <row r="8" spans="1:9" x14ac:dyDescent="0.25">
      <c r="A8" t="s">
        <v>207</v>
      </c>
      <c r="B8" t="s">
        <v>185</v>
      </c>
      <c r="C8" t="s">
        <v>205</v>
      </c>
    </row>
    <row r="9" spans="1:9" x14ac:dyDescent="0.25">
      <c r="A9" t="s">
        <v>208</v>
      </c>
      <c r="B9" t="s">
        <v>185</v>
      </c>
      <c r="C9" t="s">
        <v>205</v>
      </c>
    </row>
    <row r="10" spans="1:9" x14ac:dyDescent="0.25">
      <c r="A10" t="s">
        <v>209</v>
      </c>
      <c r="B10" t="s">
        <v>185</v>
      </c>
      <c r="C10" t="s">
        <v>210</v>
      </c>
    </row>
    <row r="11" spans="1:9" x14ac:dyDescent="0.25">
      <c r="A11" t="s">
        <v>211</v>
      </c>
      <c r="B11" t="s">
        <v>185</v>
      </c>
      <c r="C11" t="s">
        <v>210</v>
      </c>
    </row>
    <row r="12" spans="1:9" x14ac:dyDescent="0.25">
      <c r="A12" t="s">
        <v>212</v>
      </c>
      <c r="B12" t="s">
        <v>185</v>
      </c>
      <c r="C12" t="s">
        <v>210</v>
      </c>
    </row>
    <row r="13" spans="1:9" x14ac:dyDescent="0.25">
      <c r="A13" t="s">
        <v>213</v>
      </c>
      <c r="B13" t="s">
        <v>185</v>
      </c>
      <c r="C13" t="s">
        <v>210</v>
      </c>
    </row>
    <row r="14" spans="1:9" x14ac:dyDescent="0.25">
      <c r="A14" t="s">
        <v>214</v>
      </c>
      <c r="B14" t="s">
        <v>185</v>
      </c>
      <c r="C14" t="s">
        <v>215</v>
      </c>
    </row>
    <row r="15" spans="1:9" x14ac:dyDescent="0.25">
      <c r="A15" t="s">
        <v>216</v>
      </c>
      <c r="B15" t="s">
        <v>185</v>
      </c>
      <c r="C15" t="s">
        <v>215</v>
      </c>
    </row>
    <row r="16" spans="1:9" x14ac:dyDescent="0.25">
      <c r="A16" t="s">
        <v>217</v>
      </c>
      <c r="B16" t="s">
        <v>185</v>
      </c>
      <c r="C16" t="s">
        <v>215</v>
      </c>
    </row>
    <row r="17" spans="1:3" x14ac:dyDescent="0.25">
      <c r="A17" t="s">
        <v>218</v>
      </c>
      <c r="B17" t="s">
        <v>185</v>
      </c>
      <c r="C17" t="s">
        <v>215</v>
      </c>
    </row>
    <row r="18" spans="1:3" x14ac:dyDescent="0.25">
      <c r="A18" t="s">
        <v>219</v>
      </c>
      <c r="B18" t="s">
        <v>185</v>
      </c>
      <c r="C18" t="s">
        <v>220</v>
      </c>
    </row>
    <row r="19" spans="1:3" x14ac:dyDescent="0.25">
      <c r="A19" t="s">
        <v>221</v>
      </c>
      <c r="B19" t="s">
        <v>185</v>
      </c>
      <c r="C19" t="s">
        <v>220</v>
      </c>
    </row>
    <row r="20" spans="1:3" x14ac:dyDescent="0.25">
      <c r="A20" t="s">
        <v>222</v>
      </c>
      <c r="B20" t="s">
        <v>185</v>
      </c>
      <c r="C20" t="s">
        <v>220</v>
      </c>
    </row>
    <row r="21" spans="1:3" x14ac:dyDescent="0.25">
      <c r="A21" t="s">
        <v>223</v>
      </c>
      <c r="B21" t="s">
        <v>185</v>
      </c>
      <c r="C21" t="s">
        <v>220</v>
      </c>
    </row>
    <row r="22" spans="1:3" x14ac:dyDescent="0.25">
      <c r="A22" t="s">
        <v>224</v>
      </c>
      <c r="B22" t="s">
        <v>185</v>
      </c>
      <c r="C22" t="s">
        <v>225</v>
      </c>
    </row>
    <row r="23" spans="1:3" x14ac:dyDescent="0.25">
      <c r="A23" t="s">
        <v>226</v>
      </c>
      <c r="B23" t="s">
        <v>185</v>
      </c>
      <c r="C23" t="s">
        <v>225</v>
      </c>
    </row>
    <row r="24" spans="1:3" x14ac:dyDescent="0.25">
      <c r="A24" t="s">
        <v>227</v>
      </c>
      <c r="B24" t="s">
        <v>185</v>
      </c>
      <c r="C24" t="s">
        <v>225</v>
      </c>
    </row>
    <row r="25" spans="1:3" x14ac:dyDescent="0.25">
      <c r="A25" t="s">
        <v>228</v>
      </c>
      <c r="B25" t="s">
        <v>185</v>
      </c>
      <c r="C25" t="s">
        <v>225</v>
      </c>
    </row>
    <row r="26" spans="1:3" x14ac:dyDescent="0.25">
      <c r="A26" t="s">
        <v>229</v>
      </c>
      <c r="B26" t="s">
        <v>185</v>
      </c>
      <c r="C26" t="s">
        <v>230</v>
      </c>
    </row>
    <row r="27" spans="1:3" x14ac:dyDescent="0.25">
      <c r="A27" t="s">
        <v>231</v>
      </c>
      <c r="B27" t="s">
        <v>185</v>
      </c>
      <c r="C27" t="s">
        <v>230</v>
      </c>
    </row>
    <row r="28" spans="1:3" x14ac:dyDescent="0.25">
      <c r="A28" t="s">
        <v>232</v>
      </c>
      <c r="B28" t="s">
        <v>185</v>
      </c>
      <c r="C28" t="s">
        <v>230</v>
      </c>
    </row>
    <row r="29" spans="1:3" x14ac:dyDescent="0.25">
      <c r="A29" t="s">
        <v>233</v>
      </c>
      <c r="B29" t="s">
        <v>185</v>
      </c>
      <c r="C29" t="s">
        <v>230</v>
      </c>
    </row>
    <row r="30" spans="1:3" x14ac:dyDescent="0.25">
      <c r="A30" t="s">
        <v>234</v>
      </c>
      <c r="B30" t="s">
        <v>185</v>
      </c>
      <c r="C30" t="s">
        <v>235</v>
      </c>
    </row>
    <row r="31" spans="1:3" x14ac:dyDescent="0.25">
      <c r="A31" t="s">
        <v>236</v>
      </c>
      <c r="B31" t="s">
        <v>185</v>
      </c>
      <c r="C31" t="s">
        <v>235</v>
      </c>
    </row>
    <row r="32" spans="1:3" x14ac:dyDescent="0.25">
      <c r="A32" t="s">
        <v>237</v>
      </c>
      <c r="B32" t="s">
        <v>185</v>
      </c>
      <c r="C32" t="s">
        <v>235</v>
      </c>
    </row>
    <row r="33" spans="1:3" x14ac:dyDescent="0.25">
      <c r="A33" t="s">
        <v>238</v>
      </c>
      <c r="B33" t="s">
        <v>185</v>
      </c>
      <c r="C33" t="s">
        <v>235</v>
      </c>
    </row>
    <row r="34" spans="1:3" x14ac:dyDescent="0.25">
      <c r="A34" t="s">
        <v>239</v>
      </c>
      <c r="B34" t="s">
        <v>185</v>
      </c>
      <c r="C34" t="s">
        <v>240</v>
      </c>
    </row>
    <row r="35" spans="1:3" x14ac:dyDescent="0.25">
      <c r="A35" t="s">
        <v>241</v>
      </c>
      <c r="B35" t="s">
        <v>185</v>
      </c>
      <c r="C35" t="s">
        <v>240</v>
      </c>
    </row>
    <row r="36" spans="1:3" x14ac:dyDescent="0.25">
      <c r="A36" t="s">
        <v>242</v>
      </c>
      <c r="B36" t="s">
        <v>185</v>
      </c>
      <c r="C36" t="s">
        <v>240</v>
      </c>
    </row>
    <row r="37" spans="1:3" x14ac:dyDescent="0.25">
      <c r="A37" t="s">
        <v>243</v>
      </c>
      <c r="B37" t="s">
        <v>185</v>
      </c>
      <c r="C37" t="s">
        <v>240</v>
      </c>
    </row>
    <row r="38" spans="1:3" x14ac:dyDescent="0.25">
      <c r="A38" t="s">
        <v>244</v>
      </c>
      <c r="B38" t="s">
        <v>185</v>
      </c>
      <c r="C38" t="s">
        <v>245</v>
      </c>
    </row>
    <row r="39" spans="1:3" x14ac:dyDescent="0.25">
      <c r="A39" t="s">
        <v>246</v>
      </c>
      <c r="B39" t="s">
        <v>185</v>
      </c>
      <c r="C39" t="s">
        <v>245</v>
      </c>
    </row>
    <row r="40" spans="1:3" x14ac:dyDescent="0.25">
      <c r="A40" t="s">
        <v>247</v>
      </c>
      <c r="B40" t="s">
        <v>185</v>
      </c>
      <c r="C40" t="s">
        <v>245</v>
      </c>
    </row>
    <row r="41" spans="1:3" x14ac:dyDescent="0.25">
      <c r="A41" t="s">
        <v>248</v>
      </c>
      <c r="B41" t="s">
        <v>185</v>
      </c>
      <c r="C41" t="s">
        <v>245</v>
      </c>
    </row>
    <row r="42" spans="1:3" x14ac:dyDescent="0.25">
      <c r="A42" t="s">
        <v>249</v>
      </c>
      <c r="B42" t="s">
        <v>185</v>
      </c>
      <c r="C42" t="s">
        <v>250</v>
      </c>
    </row>
    <row r="43" spans="1:3" x14ac:dyDescent="0.25">
      <c r="A43" t="s">
        <v>251</v>
      </c>
      <c r="B43" t="s">
        <v>185</v>
      </c>
      <c r="C43" t="s">
        <v>250</v>
      </c>
    </row>
    <row r="44" spans="1:3" x14ac:dyDescent="0.25">
      <c r="A44" t="s">
        <v>252</v>
      </c>
      <c r="B44" t="s">
        <v>185</v>
      </c>
      <c r="C44" t="s">
        <v>250</v>
      </c>
    </row>
    <row r="45" spans="1:3" x14ac:dyDescent="0.25">
      <c r="A45" t="s">
        <v>253</v>
      </c>
      <c r="B45" t="s">
        <v>185</v>
      </c>
      <c r="C45" t="s">
        <v>250</v>
      </c>
    </row>
    <row r="46" spans="1:3" x14ac:dyDescent="0.25">
      <c r="A46" t="s">
        <v>254</v>
      </c>
      <c r="B46" t="s">
        <v>185</v>
      </c>
      <c r="C46" t="s">
        <v>255</v>
      </c>
    </row>
    <row r="47" spans="1:3" x14ac:dyDescent="0.25">
      <c r="A47" t="s">
        <v>256</v>
      </c>
      <c r="B47" t="s">
        <v>185</v>
      </c>
      <c r="C47" t="s">
        <v>255</v>
      </c>
    </row>
    <row r="48" spans="1:3" x14ac:dyDescent="0.25">
      <c r="A48" t="s">
        <v>257</v>
      </c>
      <c r="B48" t="s">
        <v>185</v>
      </c>
      <c r="C48" t="s">
        <v>255</v>
      </c>
    </row>
    <row r="49" spans="1:3" x14ac:dyDescent="0.25">
      <c r="A49" t="s">
        <v>258</v>
      </c>
      <c r="B49" t="s">
        <v>185</v>
      </c>
      <c r="C49" t="s">
        <v>255</v>
      </c>
    </row>
    <row r="50" spans="1:3" x14ac:dyDescent="0.25">
      <c r="A50" t="s">
        <v>259</v>
      </c>
      <c r="B50" t="s">
        <v>185</v>
      </c>
      <c r="C50" t="s">
        <v>196</v>
      </c>
    </row>
    <row r="51" spans="1:3" x14ac:dyDescent="0.25">
      <c r="A51" t="s">
        <v>197</v>
      </c>
      <c r="B51" t="s">
        <v>185</v>
      </c>
      <c r="C51" t="s">
        <v>198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2019-04-17T06:24:49Z</dcterms:modified>
</cp:coreProperties>
</file>