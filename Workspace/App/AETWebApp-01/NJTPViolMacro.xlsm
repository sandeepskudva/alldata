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fileVersion appName="xl" codeName="{8C4F1C90-05EB-6A55-5F09-09C24B55AC0B}" lastEdited="5" lowestEdited="5" rupBuild="9303"/>
  <workbookPr codeName="ThisWorkbook" defaultThemeVersion="124226"/>
  <bookViews>
    <workbookView activeTab="7" firstSheet="1" windowHeight="6855" windowWidth="15600" xWindow="480" yWindow="930"/>
  </bookViews>
  <sheets>
    <sheet name="Revision" r:id="rId1" sheetId="10"/>
    <sheet name="Help" r:id="rId2" sheetId="3"/>
    <sheet name="Inputs" r:id="rId3" sheetId="2"/>
    <sheet name="Data1" r:id="rId4" sheetId="6"/>
    <sheet name="Data2" r:id="rId5" sheetId="7"/>
    <sheet name="Temp" r:id="rId6" sheetId="8"/>
    <sheet name="Correction" r:id="rId7" sheetId="9"/>
    <sheet name="Data3" r:id="rId8" sheetId="11"/>
    <sheet name="PlateDetails" r:id="rId9" sheetId="12"/>
  </sheets>
  <functionGroups builtInGroupCount="17"/>
  <definedNames>
    <definedName hidden="1" localSheetId="3" name="_xlnm._FilterDatabase">Data1!$A$1:$U$427</definedName>
    <definedName hidden="1" localSheetId="5" name="_xlnm._FilterDatabase">Temp!$A$1:$A$47</definedName>
    <definedName name="Number_of_Fields">Inputs!$G$16</definedName>
  </definedNames>
  <calcPr calcId="145621"/>
</workbook>
</file>

<file path=xl/calcChain.xml><?xml version="1.0" encoding="utf-8"?>
<calcChain xmlns="http://schemas.openxmlformats.org/spreadsheetml/2006/main">
  <c i="2" l="1" r="H34"/>
  <c i="2" r="H35"/>
  <c i="2" r="H39"/>
  <c i="9" l="1" r="V4"/>
  <c i="9" r="W4"/>
  <c i="9" r="V5"/>
  <c i="9" r="W5"/>
  <c i="9" r="V6"/>
  <c i="9" r="W6"/>
  <c i="9" r="V7"/>
  <c i="9" r="W7"/>
  <c i="9" r="V8"/>
  <c i="9" r="W8"/>
  <c i="9" r="V9"/>
  <c i="9" r="W9"/>
  <c i="9" r="V10"/>
  <c i="9" r="W10"/>
  <c i="9" r="V11"/>
  <c i="9" r="W11"/>
  <c i="9" r="V12"/>
  <c i="9" r="W12"/>
  <c i="9" r="V13"/>
  <c i="9" r="W13"/>
  <c i="9" r="V14"/>
  <c i="9" r="W14"/>
  <c i="9" r="V15"/>
  <c i="9" r="W15"/>
  <c i="9" r="V16"/>
  <c i="9" r="W16"/>
  <c i="9" r="V17"/>
  <c i="9" r="W17"/>
  <c i="9" r="V18"/>
  <c i="9" r="W18"/>
  <c i="9" r="V19"/>
  <c i="9" r="W19"/>
  <c i="9" r="V20"/>
  <c i="9" r="W20"/>
  <c i="9" r="V21"/>
  <c i="9" r="W21"/>
  <c i="9" r="V22"/>
  <c i="9" r="W22"/>
  <c i="9" r="V3"/>
  <c i="9" r="W3"/>
  <c i="9" l="1" r="A4"/>
  <c i="9" r="B4"/>
  <c i="9" r="D4"/>
  <c i="9" r="E4"/>
  <c i="9" r="F4"/>
  <c i="9" r="G4"/>
  <c i="9" r="H4"/>
  <c i="9" r="I4"/>
  <c i="9" r="J4"/>
  <c i="9" r="K4"/>
  <c i="9" r="L4"/>
  <c i="9" r="M4"/>
  <c i="9" r="N4"/>
  <c i="9" r="P4"/>
  <c i="9" r="Q4"/>
  <c i="9" r="R4"/>
  <c i="9" r="S4"/>
  <c i="9" r="T4"/>
  <c i="9" r="U4"/>
  <c i="9" r="A5"/>
  <c i="9" r="B5"/>
  <c i="9" r="D5"/>
  <c i="9" r="E5"/>
  <c i="9" r="F5"/>
  <c i="9" r="G5"/>
  <c i="9" r="H5"/>
  <c i="9" r="I5"/>
  <c i="9" r="J5"/>
  <c i="9" r="K5"/>
  <c i="9" r="L5"/>
  <c i="9" r="M5"/>
  <c i="9" r="N5"/>
  <c i="9" r="P5"/>
  <c i="9" r="Q5"/>
  <c i="9" r="R5"/>
  <c i="9" r="S5"/>
  <c i="9" r="T5"/>
  <c i="9" r="U5"/>
  <c i="9" r="A6"/>
  <c i="9" r="B6"/>
  <c i="9" r="D6"/>
  <c i="9" r="E6"/>
  <c i="9" r="F6"/>
  <c i="9" r="G6"/>
  <c i="9" r="H6"/>
  <c i="9" r="I6"/>
  <c i="9" r="J6"/>
  <c i="9" r="K6"/>
  <c i="9" r="L6"/>
  <c i="9" r="M6"/>
  <c i="9" r="N6"/>
  <c i="9" r="P6"/>
  <c i="9" r="Q6"/>
  <c i="9" r="R6"/>
  <c i="9" r="S6"/>
  <c i="9" r="T6"/>
  <c i="9" r="U6"/>
  <c i="9" r="A7"/>
  <c i="9" r="B7"/>
  <c i="9" r="D7"/>
  <c i="9" r="E7"/>
  <c i="9" r="F7"/>
  <c i="9" r="G7"/>
  <c i="9" r="H7"/>
  <c i="9" r="I7"/>
  <c i="9" r="J7"/>
  <c i="9" r="K7"/>
  <c i="9" r="L7"/>
  <c i="9" r="M7"/>
  <c i="9" r="N7"/>
  <c i="9" r="P7"/>
  <c i="9" r="Q7"/>
  <c i="9" r="R7"/>
  <c i="9" r="S7"/>
  <c i="9" r="T7"/>
  <c i="9" r="U7"/>
  <c i="9" r="A8"/>
  <c i="9" r="B8"/>
  <c i="9" r="D8"/>
  <c i="9" r="E8"/>
  <c i="9" r="F8"/>
  <c i="9" r="G8"/>
  <c i="9" r="H8"/>
  <c i="9" r="I8"/>
  <c i="9" r="J8"/>
  <c i="9" r="K8"/>
  <c i="9" r="L8"/>
  <c i="9" r="M8"/>
  <c i="9" r="N8"/>
  <c i="9" r="P8"/>
  <c i="9" r="Q8"/>
  <c i="9" r="R8"/>
  <c i="9" r="S8"/>
  <c i="9" r="T8"/>
  <c i="9" r="U8"/>
  <c i="9" r="A9"/>
  <c i="9" r="B9"/>
  <c i="9" r="D9"/>
  <c i="9" r="E9"/>
  <c i="9" r="F9"/>
  <c i="9" r="G9"/>
  <c i="9" r="H9"/>
  <c i="9" r="I9"/>
  <c i="9" r="J9"/>
  <c i="9" r="K9"/>
  <c i="9" r="L9"/>
  <c i="9" r="M9"/>
  <c i="9" r="N9"/>
  <c i="9" r="P9"/>
  <c i="9" r="Q9"/>
  <c i="9" r="R9"/>
  <c i="9" r="S9"/>
  <c i="9" r="T9"/>
  <c i="9" r="U9"/>
  <c i="9" r="A10"/>
  <c i="9" r="B10"/>
  <c i="9" r="D10"/>
  <c i="9" r="E10"/>
  <c i="9" r="F10"/>
  <c i="9" r="G10"/>
  <c i="9" r="H10"/>
  <c i="9" r="I10"/>
  <c i="9" r="J10"/>
  <c i="9" r="K10"/>
  <c i="9" r="L10"/>
  <c i="9" r="M10"/>
  <c i="9" r="N10"/>
  <c i="9" r="P10"/>
  <c i="9" r="Q10"/>
  <c i="9" r="R10"/>
  <c i="9" r="S10"/>
  <c i="9" r="T10"/>
  <c i="9" r="U10"/>
  <c i="9" r="A11"/>
  <c i="9" r="B11"/>
  <c i="9" r="D11"/>
  <c i="9" r="E11"/>
  <c i="9" r="F11"/>
  <c i="9" r="G11"/>
  <c i="9" r="H11"/>
  <c i="9" r="I11"/>
  <c i="9" r="J11"/>
  <c i="9" r="K11"/>
  <c i="9" r="L11"/>
  <c i="9" r="M11"/>
  <c i="9" r="N11"/>
  <c i="9" r="P11"/>
  <c i="9" r="Q11"/>
  <c i="9" r="R11"/>
  <c i="9" r="S11"/>
  <c i="9" r="T11"/>
  <c i="9" r="U11"/>
  <c i="9" r="A12"/>
  <c i="9" r="B12"/>
  <c i="9" r="D12"/>
  <c i="9" r="E12"/>
  <c i="9" r="F12"/>
  <c i="9" r="G12"/>
  <c i="9" r="H12"/>
  <c i="9" r="I12"/>
  <c i="9" r="J12"/>
  <c i="9" r="K12"/>
  <c i="9" r="L12"/>
  <c i="9" r="M12"/>
  <c i="9" r="N12"/>
  <c i="9" r="P12"/>
  <c i="9" r="Q12"/>
  <c i="9" r="R12"/>
  <c i="9" r="S12"/>
  <c i="9" r="T12"/>
  <c i="9" r="U12"/>
  <c i="9" r="A13"/>
  <c i="9" r="B13"/>
  <c i="9" r="D13"/>
  <c i="9" r="E13"/>
  <c i="9" r="F13"/>
  <c i="9" r="G13"/>
  <c i="9" r="H13"/>
  <c i="9" r="I13"/>
  <c i="9" r="J13"/>
  <c i="9" r="K13"/>
  <c i="9" r="L13"/>
  <c i="9" r="M13"/>
  <c i="9" r="N13"/>
  <c i="9" r="P13"/>
  <c i="9" r="Q13"/>
  <c i="9" r="R13"/>
  <c i="9" r="S13"/>
  <c i="9" r="T13"/>
  <c i="9" r="U13"/>
  <c i="9" r="A14"/>
  <c i="9" r="B14"/>
  <c i="9" r="D14"/>
  <c i="9" r="E14"/>
  <c i="9" r="F14"/>
  <c i="9" r="G14"/>
  <c i="9" r="H14"/>
  <c i="9" r="I14"/>
  <c i="9" r="J14"/>
  <c i="9" r="K14"/>
  <c i="9" r="L14"/>
  <c i="9" r="M14"/>
  <c i="9" r="N14"/>
  <c i="9" r="P14"/>
  <c i="9" r="Q14"/>
  <c i="9" r="R14"/>
  <c i="9" r="S14"/>
  <c i="9" r="T14"/>
  <c i="9" r="U14"/>
  <c i="9" r="A15"/>
  <c i="9" r="B15"/>
  <c i="9" r="D15"/>
  <c i="9" r="E15"/>
  <c i="9" r="F15"/>
  <c i="9" r="G15"/>
  <c i="9" r="H15"/>
  <c i="9" r="I15"/>
  <c i="9" r="J15"/>
  <c i="9" r="K15"/>
  <c i="9" r="L15"/>
  <c i="9" r="M15"/>
  <c i="9" r="N15"/>
  <c i="9" r="P15"/>
  <c i="9" r="Q15"/>
  <c i="9" r="R15"/>
  <c i="9" r="S15"/>
  <c i="9" r="T15"/>
  <c i="9" r="U15"/>
  <c i="9" r="A16"/>
  <c i="9" r="B16"/>
  <c i="9" r="D16"/>
  <c i="9" r="E16"/>
  <c i="9" r="F16"/>
  <c i="9" r="G16"/>
  <c i="9" r="H16"/>
  <c i="9" r="I16"/>
  <c i="9" r="J16"/>
  <c i="9" r="K16"/>
  <c i="9" r="L16"/>
  <c i="9" r="M16"/>
  <c i="9" r="N16"/>
  <c i="9" r="P16"/>
  <c i="9" r="Q16"/>
  <c i="9" r="R16"/>
  <c i="9" r="S16"/>
  <c i="9" r="T16"/>
  <c i="9" r="U16"/>
  <c i="9" r="A17"/>
  <c i="9" r="B17"/>
  <c i="9" r="D17"/>
  <c i="9" r="E17"/>
  <c i="9" r="F17"/>
  <c i="9" r="G17"/>
  <c i="9" r="H17"/>
  <c i="9" r="I17"/>
  <c i="9" r="J17"/>
  <c i="9" r="K17"/>
  <c i="9" r="L17"/>
  <c i="9" r="M17"/>
  <c i="9" r="N17"/>
  <c i="9" r="P17"/>
  <c i="9" r="Q17"/>
  <c i="9" r="R17"/>
  <c i="9" r="S17"/>
  <c i="9" r="T17"/>
  <c i="9" r="U17"/>
  <c i="9" r="A18"/>
  <c i="9" r="B18"/>
  <c i="9" r="D18"/>
  <c i="9" r="E18"/>
  <c i="9" r="F18"/>
  <c i="9" r="G18"/>
  <c i="9" r="H18"/>
  <c i="9" r="I18"/>
  <c i="9" r="J18"/>
  <c i="9" r="K18"/>
  <c i="9" r="L18"/>
  <c i="9" r="M18"/>
  <c i="9" r="N18"/>
  <c i="9" r="P18"/>
  <c i="9" r="Q18"/>
  <c i="9" r="R18"/>
  <c i="9" r="S18"/>
  <c i="9" r="T18"/>
  <c i="9" r="U18"/>
  <c i="9" r="A19"/>
  <c i="9" r="B19"/>
  <c i="9" r="D19"/>
  <c i="9" r="E19"/>
  <c i="9" r="F19"/>
  <c i="9" r="G19"/>
  <c i="9" r="H19"/>
  <c i="9" r="I19"/>
  <c i="9" r="J19"/>
  <c i="9" r="K19"/>
  <c i="9" r="L19"/>
  <c i="9" r="M19"/>
  <c i="9" r="N19"/>
  <c i="9" r="P19"/>
  <c i="9" r="Q19"/>
  <c i="9" r="R19"/>
  <c i="9" r="S19"/>
  <c i="9" r="T19"/>
  <c i="9" r="U19"/>
  <c i="9" r="A20"/>
  <c i="9" r="B20"/>
  <c i="9" r="D20"/>
  <c i="9" r="E20"/>
  <c i="9" r="F20"/>
  <c i="9" r="G20"/>
  <c i="9" r="H20"/>
  <c i="9" r="I20"/>
  <c i="9" r="J20"/>
  <c i="9" r="K20"/>
  <c i="9" r="L20"/>
  <c i="9" r="M20"/>
  <c i="9" r="N20"/>
  <c i="9" r="P20"/>
  <c i="9" r="Q20"/>
  <c i="9" r="R20"/>
  <c i="9" r="S20"/>
  <c i="9" r="T20"/>
  <c i="9" r="U20"/>
  <c i="9" r="A21"/>
  <c i="9" r="B21"/>
  <c i="9" r="D21"/>
  <c i="9" r="E21"/>
  <c i="9" r="F21"/>
  <c i="9" r="G21"/>
  <c i="9" r="H21"/>
  <c i="9" r="I21"/>
  <c i="9" r="J21"/>
  <c i="9" r="K21"/>
  <c i="9" r="L21"/>
  <c i="9" r="M21"/>
  <c i="9" r="N21"/>
  <c i="9" r="P21"/>
  <c i="9" r="Q21"/>
  <c i="9" r="R21"/>
  <c i="9" r="S21"/>
  <c i="9" r="T21"/>
  <c i="9" r="U21"/>
  <c i="9" r="A22"/>
  <c i="9" r="B22"/>
  <c i="9" r="D22"/>
  <c i="9" r="E22"/>
  <c i="9" r="F22"/>
  <c i="9" r="G22"/>
  <c i="9" r="H22"/>
  <c i="9" r="I22"/>
  <c i="9" r="J22"/>
  <c i="9" r="K22"/>
  <c i="9" r="L22"/>
  <c i="9" r="M22"/>
  <c i="9" r="N22"/>
  <c i="9" r="P22"/>
  <c i="9" r="Q22"/>
  <c i="9" r="R22"/>
  <c i="9" r="S22"/>
  <c i="9" r="T22"/>
  <c i="9" r="U22"/>
  <c i="9" r="U3"/>
  <c i="9" r="T3"/>
  <c i="9" r="S3"/>
  <c i="9" r="R3"/>
  <c i="9" r="Q3"/>
  <c i="9" r="P3"/>
  <c i="9" r="N3"/>
  <c i="9" r="M3"/>
  <c i="9" r="L3"/>
  <c i="9" r="I3"/>
  <c i="9" r="J3"/>
  <c i="9" r="K3"/>
  <c i="9" r="H3"/>
  <c i="9" r="F3"/>
  <c i="9" r="G3"/>
  <c i="9" r="E3"/>
  <c i="9" r="D3"/>
  <c i="9" r="B3"/>
  <c i="9" r="A3"/>
  <c i="8" l="1" r="A65"/>
  <c i="8" r="A64"/>
  <c i="8" r="A63"/>
  <c i="8" r="A62"/>
  <c i="8" r="A61"/>
  <c i="8" r="A60"/>
  <c i="8" r="A59"/>
  <c i="8" r="A58"/>
  <c i="8" r="A57"/>
  <c i="8" r="A56"/>
  <c i="8" r="A55"/>
  <c i="8" r="A54"/>
  <c i="8" r="A53"/>
  <c i="8" r="A52"/>
  <c i="8" r="A51"/>
  <c i="8" r="A50"/>
  <c i="8" r="A49"/>
  <c i="8" r="A48"/>
  <c i="8" r="A47"/>
  <c i="8" r="A46"/>
  <c i="8" r="A45"/>
  <c i="8" r="A44"/>
  <c i="8" r="A43"/>
  <c i="8" r="A72"/>
  <c i="8" r="A100"/>
  <c i="8" r="A99"/>
  <c i="8" r="A98"/>
  <c i="8" r="A94"/>
  <c i="8" r="A93"/>
  <c i="8" r="A92"/>
  <c i="8" r="A91"/>
  <c i="8" r="A90"/>
  <c i="8" r="A87"/>
  <c i="8" r="A86"/>
  <c i="8" r="A85"/>
  <c i="8" r="A84"/>
  <c i="8" r="A83"/>
  <c i="8" r="A82"/>
  <c i="8" r="A81"/>
  <c i="8" r="A111"/>
  <c i="8" r="A107"/>
  <c i="8" r="A106"/>
  <c i="8" r="A105"/>
  <c i="8" r="A104"/>
  <c i="8" r="A103"/>
  <c i="8" r="A102"/>
  <c i="8" r="A101"/>
  <c i="8" r="A71"/>
  <c i="8" r="A70"/>
  <c i="8" r="A73"/>
  <c i="8" r="I44"/>
  <c i="8" r="I45"/>
  <c i="8" r="I46"/>
  <c i="8" r="I47"/>
  <c i="8" r="I48"/>
  <c i="8" r="I49"/>
  <c i="8" r="I50"/>
  <c i="8" r="I51"/>
  <c i="8" r="I52"/>
  <c i="8" r="I53"/>
  <c i="8" r="I54"/>
  <c i="8" r="I55"/>
  <c i="8" r="I56"/>
  <c i="8" r="I57"/>
  <c i="8" r="I58"/>
  <c i="8" r="I59"/>
  <c i="8" r="I60"/>
  <c i="8" r="I61"/>
  <c i="8" r="I62"/>
  <c i="8" r="I63"/>
  <c i="8" r="I64"/>
  <c i="8" r="I65"/>
  <c i="8" r="I66"/>
  <c i="8" r="I67"/>
  <c i="8" r="I68"/>
  <c i="8" r="I69"/>
  <c i="8" r="I70"/>
  <c i="8" r="I71"/>
  <c i="8" r="I72"/>
  <c i="8" r="I73"/>
  <c i="8" r="I74"/>
  <c i="8" r="I75"/>
  <c i="8" r="I76"/>
  <c i="8" r="I77"/>
  <c i="8" r="I78"/>
  <c i="8" r="I79"/>
  <c i="8" r="I80"/>
  <c i="8" r="I81"/>
  <c i="8" r="I82"/>
  <c i="8" r="I83"/>
  <c i="8" r="I84"/>
  <c i="8" r="I85"/>
  <c i="8" r="I86"/>
  <c i="8" r="I87"/>
  <c i="8" r="I88"/>
  <c i="8" r="I89"/>
  <c i="8" r="I90"/>
  <c i="8" r="I91"/>
  <c i="8" r="I92"/>
  <c i="8" r="I43"/>
  <c i="8" r="A42"/>
  <c i="8" r="A39"/>
  <c i="8" r="A40"/>
  <c i="8" r="A41"/>
  <c i="8" r="A27"/>
  <c i="8" r="A28"/>
  <c i="8" r="A29"/>
  <c i="8" r="A30"/>
  <c i="8" r="A31"/>
  <c i="8" r="A32"/>
  <c i="8" r="A33"/>
  <c i="8" r="A34"/>
  <c i="8" r="A35"/>
  <c i="8" r="A36"/>
  <c i="8" r="A37"/>
  <c i="8" r="A38"/>
  <c i="8" r="A67"/>
  <c i="8" r="A68"/>
  <c i="8" r="A76"/>
  <c i="8" r="A77"/>
  <c i="8" r="A78"/>
  <c i="8" r="A79"/>
  <c i="8" r="A80"/>
  <c i="8" r="A88"/>
  <c i="8" r="A89"/>
  <c i="8" r="A95"/>
  <c i="8" r="A96"/>
  <c i="8" r="A97"/>
  <c i="8" r="A108"/>
  <c i="8" r="A109"/>
  <c i="8" r="A110"/>
  <c i="8" r="A9"/>
  <c i="8" r="A10"/>
  <c i="8" r="A11"/>
  <c i="8" r="A12"/>
  <c i="8" r="A13"/>
  <c i="8" r="A14"/>
  <c i="8" r="A15"/>
  <c i="8" r="A16"/>
  <c i="8" r="A17"/>
  <c i="8" r="A18"/>
  <c i="8" r="A19"/>
  <c i="8" r="A20"/>
  <c i="8" r="A21"/>
  <c i="8" r="A22"/>
  <c i="8" r="A23"/>
  <c i="8" r="A24"/>
  <c i="8" r="A25"/>
  <c i="8" r="A26"/>
  <c i="8" r="A66"/>
  <c i="8" r="A74"/>
  <c i="8" r="A75"/>
  <c i="8" r="A2"/>
  <c i="8" r="A3"/>
  <c i="8" r="A4"/>
  <c i="8" r="A5"/>
  <c i="8" r="A6"/>
  <c i="8" r="A7"/>
  <c i="8" r="A8"/>
  <c i="8" r="A69"/>
</calcChain>
</file>

<file path=xl/comments1.xml><?xml version="1.0" encoding="utf-8"?>
<comments xmlns="http://schemas.openxmlformats.org/spreadsheetml/2006/main">
  <authors>
    <author>Sivakumar Narayanappa</author>
  </authors>
  <commentList>
    <comment authorId="0" ref="K1">
      <text>
        <r>
          <rPr>
            <b/>
            <sz val="9"/>
            <color indexed="81"/>
            <rFont val="Tahoma"/>
            <family val="2"/>
          </rPr>
          <t>Macro supports upto 50 inputs from column L;</t>
        </r>
        <r>
          <rPr>
            <sz val="9"/>
            <color indexed="81"/>
            <rFont val="Tahoma"/>
            <family val="2"/>
          </rPr>
          <t xml:space="preserve">
Column L to BI</t>
        </r>
      </text>
    </comment>
    <comment authorId="0" ref="D2">
      <text>
        <r>
          <rPr>
            <b/>
            <sz val="9"/>
            <color indexed="81"/>
            <rFont val="Tahoma"/>
            <family val="2"/>
          </rPr>
          <t>Sivakumar Narayanappa:</t>
        </r>
        <r>
          <rPr>
            <sz val="9"/>
            <color indexed="81"/>
            <rFont val="Tahoma"/>
            <family val="2"/>
          </rPr>
          <t xml:space="preserve">
Use this if the value to be incremented is a huge value.
The result will be concatenation of "Value to be appended" with "incremented start value"</t>
        </r>
      </text>
    </comment>
    <comment authorId="0" ref="L3">
      <text>
        <r>
          <rPr>
            <b/>
            <sz val="9"/>
            <color indexed="81"/>
            <rFont val="Tahoma"/>
            <family val="2"/>
          </rPr>
          <t>Sivakumar Narayanappa:</t>
        </r>
        <r>
          <rPr>
            <sz val="9"/>
            <color indexed="81"/>
            <rFont val="Tahoma"/>
            <family val="2"/>
          </rPr>
          <t xml:space="preserve">
Program stops if the value in the column is not greater than zero</t>
        </r>
      </text>
    </comment>
  </commentList>
</comments>
</file>

<file path=xl/sharedStrings.xml><?xml version="1.0" encoding="utf-8"?>
<sst xmlns="http://schemas.openxmlformats.org/spreadsheetml/2006/main" count="2950" uniqueCount="599">
  <si>
    <t>ETC  Plaza</t>
  </si>
  <si>
    <t>ETC  Lane</t>
  </si>
  <si>
    <t>V</t>
  </si>
  <si>
    <t>Field position</t>
  </si>
  <si>
    <t>Name</t>
  </si>
  <si>
    <t>Start Value</t>
  </si>
  <si>
    <t>Increment Value</t>
  </si>
  <si>
    <t>Value to be appended</t>
  </si>
  <si>
    <t>Value</t>
  </si>
  <si>
    <t>Sl.No</t>
  </si>
  <si>
    <t>List of values to be incremented for each record</t>
  </si>
  <si>
    <t>List of values that are constant in each record</t>
  </si>
  <si>
    <t># of Trxns</t>
  </si>
  <si>
    <t># of chars</t>
  </si>
  <si>
    <t>Field Name --&gt;</t>
  </si>
  <si>
    <t>Field position --&gt;</t>
  </si>
  <si>
    <t>Special Instructions</t>
  </si>
  <si>
    <t>Date</t>
  </si>
  <si>
    <t>Number of Fields</t>
  </si>
  <si>
    <t>NA</t>
  </si>
  <si>
    <t>Read Comments</t>
  </si>
  <si>
    <t>Sum</t>
  </si>
  <si>
    <t>YYYYMMDD</t>
  </si>
  <si>
    <t>Time</t>
  </si>
  <si>
    <t>HHMMSSTT</t>
  </si>
  <si>
    <t>Difference</t>
  </si>
  <si>
    <t>DIFF (Min)</t>
  </si>
  <si>
    <t>Pad left with</t>
  </si>
  <si>
    <t># of Records</t>
  </si>
  <si>
    <t>D</t>
  </si>
  <si>
    <t>B</t>
  </si>
  <si>
    <t>Fields Positions</t>
  </si>
  <si>
    <t>Inputs!</t>
  </si>
  <si>
    <t>M</t>
  </si>
  <si>
    <t>N</t>
  </si>
  <si>
    <t>O</t>
  </si>
  <si>
    <t>P</t>
  </si>
  <si>
    <t>Q</t>
  </si>
  <si>
    <t>R</t>
  </si>
  <si>
    <t>S</t>
  </si>
  <si>
    <t>T</t>
  </si>
  <si>
    <t>U</t>
  </si>
  <si>
    <t>W</t>
  </si>
  <si>
    <t>X</t>
  </si>
  <si>
    <t>Y</t>
  </si>
  <si>
    <t>Z</t>
  </si>
  <si>
    <t>A</t>
  </si>
  <si>
    <t>C</t>
  </si>
  <si>
    <t>E</t>
  </si>
  <si>
    <t>F</t>
  </si>
  <si>
    <t>G</t>
  </si>
  <si>
    <t>H</t>
  </si>
  <si>
    <t>I</t>
  </si>
  <si>
    <t>J</t>
  </si>
  <si>
    <t>K</t>
  </si>
  <si>
    <t>L</t>
  </si>
  <si>
    <t>$2</t>
  </si>
  <si>
    <t>This excel helps us to generate flat files to be fed to batch jobs and circumvents the issue of modifying selected characters of each lengthy record.  With this, one could concentrate on setting up real data - accounts, device numbers , notices, etc. with various statuses. This is a generic macro that could be used across various programs and  batch jobs.</t>
  </si>
  <si>
    <t>This tool has 3 sheets; Inputs, Data1 and Data2. "Inputs" sheet takes the definitions from ICD. The macro populates the detail records in "Data1" sheet as per ICD definitions. Often the number of records, sum of tolls, etc. must be given in header and footer; those details will be populated in "Data2" sheet.</t>
  </si>
  <si>
    <t>Date Separator</t>
  </si>
  <si>
    <t>Time Separator</t>
  </si>
  <si>
    <t>Works for MMDDYYYY OR  DDMMYYYY OR YYYYMMDD formats</t>
  </si>
  <si>
    <t>Works for HHMM OR HHMMSS formats</t>
  </si>
  <si>
    <r>
      <t>There are 3 sets of data to be defined in the "Inputs" sheet</t>
    </r>
    <r>
      <rPr>
        <b/>
        <sz val="11"/>
        <color theme="1"/>
        <rFont val="Calibri"/>
        <family val="2"/>
        <scheme val="minor"/>
      </rPr>
      <t>.</t>
    </r>
    <r>
      <rPr>
        <sz val="11"/>
        <color theme="1"/>
        <rFont val="Calibri"/>
        <family val="2"/>
        <scheme val="minor"/>
      </rPr>
      <t xml:space="preserve">
</t>
    </r>
    <r>
      <rPr>
        <b/>
        <sz val="11"/>
        <color theme="1"/>
        <rFont val="Calibri"/>
        <family val="2"/>
        <scheme val="minor"/>
      </rPr>
      <t>First Set</t>
    </r>
    <r>
      <rPr>
        <sz val="11"/>
        <color theme="1"/>
        <rFont val="Calibri"/>
        <family val="2"/>
        <scheme val="minor"/>
      </rPr>
      <t xml:space="preserve"> are the vales to be incremented for each record (Cells - C3 to H12). </t>
    </r>
    <r>
      <rPr>
        <b/>
        <sz val="11"/>
        <color theme="1"/>
        <rFont val="Calibri"/>
        <family val="2"/>
        <scheme val="minor"/>
      </rPr>
      <t xml:space="preserve">Field position must be given in column "C" and it has to be unique in the inputs sheet across all sets of data. </t>
    </r>
    <r>
      <rPr>
        <sz val="11"/>
        <color theme="1"/>
        <rFont val="Calibri"/>
        <family val="2"/>
        <scheme val="minor"/>
      </rPr>
      <t xml:space="preserve">
End Value = Concatenate ("Value to be appended" , [Pad left with value in Column H  (Start Value + Increment Value)])</t>
    </r>
  </si>
  <si>
    <r>
      <rPr>
        <b/>
        <sz val="11"/>
        <color theme="1"/>
        <rFont val="Calibri"/>
        <family val="2"/>
        <scheme val="minor"/>
      </rPr>
      <t>Second Set</t>
    </r>
    <r>
      <rPr>
        <sz val="11"/>
        <color theme="1"/>
        <rFont val="Calibri"/>
        <family val="2"/>
        <scheme val="minor"/>
      </rPr>
      <t xml:space="preserve"> are the values that doesn't change at all. (Cells - B17 to D66). The values have to be padded accordingly. Example - For  "0002", insert the value with single quote "'0002" while entering the value.</t>
    </r>
  </si>
  <si>
    <r>
      <rPr>
        <b/>
        <sz val="11"/>
        <color theme="1"/>
        <rFont val="Calibri"/>
        <family val="2"/>
        <scheme val="minor"/>
      </rPr>
      <t xml:space="preserve">The third set </t>
    </r>
    <r>
      <rPr>
        <sz val="11"/>
        <color theme="1"/>
        <rFont val="Calibri"/>
        <family val="2"/>
        <scheme val="minor"/>
      </rPr>
      <t>accepts user defined data that changes for each record. (Cells - L2 to BH..). This tool processes the user data till the value in column L is empty. Tool creates those many transactions using the values given in column L. 
Row #2, except column L, takes the positions of various fields. 
Row #3 takes special instructions. "Sum" - sums up the value for all the transactions and records it in "Data2" sheet with field position. If you would like to use a value of another field, give the instruction as "Ref" and the field position as value. If field is a date field, you may give the format of the output as instruction - "YYYYMMDDHHMMSSTT",  "YYYYMMDDHHMMSS", "YYYYMMDDHHMM", "YYYYMMDD", "HHMMSS", "HHMM".  In these formats, "YYYYMMDD" could be replaced by "DDMMYYYY" or "MMDDYYYY".  If you would like to use a value of another date field, you may give "Ref_Max" or "Ref_Min"  and give the field position as value. It will get you the max and min time if there are more than one transaction for the same definition. 
The user defined data shall be given from row #4 onwards. If the instruction is "Ref", tool expects the field position as value. For DateTime values, give the column name where the start of date, Time &amp; TimeDiff are to be referred.
Fill the number of fields as well and click on button "Populate Data"
Date and Time separators works for the formats - "DDMMYYYY", "MMDDYYYY" , "YYYYMMDD", "HHMMSS" and "HHMM".</t>
    </r>
  </si>
  <si>
    <t>Version</t>
  </si>
  <si>
    <t>Updated on</t>
  </si>
  <si>
    <t>Updated By</t>
  </si>
  <si>
    <t>Revision History</t>
  </si>
  <si>
    <t>1.0</t>
  </si>
  <si>
    <t>Siva</t>
  </si>
  <si>
    <t>The first version</t>
  </si>
  <si>
    <t>1.1</t>
  </si>
  <si>
    <t>Fixed the DateTime issue. Introduced Date &amp; Time separators.</t>
  </si>
  <si>
    <t>&lt;40</t>
  </si>
  <si>
    <t>&lt;1425</t>
  </si>
  <si>
    <t>&gt;30</t>
  </si>
  <si>
    <t>&gt;1575</t>
  </si>
  <si>
    <t>&lt;180</t>
  </si>
  <si>
    <t>&gt;220</t>
  </si>
  <si>
    <t>1.2</t>
  </si>
  <si>
    <t>Fixed another DateTime Issue. Cint was rounding off the decimal and it was replaced by Int in DTValue1 function.</t>
  </si>
  <si>
    <t>1.3</t>
  </si>
  <si>
    <t>Fixed the third DateTime issue. The tool was not incrementing the Min if the start value is XX0000 and difference is less than 60 min.</t>
  </si>
  <si>
    <t>Rec_Type</t>
  </si>
  <si>
    <t>003</t>
  </si>
  <si>
    <t>1076</t>
  </si>
  <si>
    <t>1077</t>
  </si>
  <si>
    <t>001</t>
  </si>
  <si>
    <t>002</t>
  </si>
  <si>
    <t>004</t>
  </si>
  <si>
    <t>Message_type</t>
  </si>
  <si>
    <t>0330</t>
  </si>
  <si>
    <t>Viol_audit_status</t>
  </si>
  <si>
    <t>Transaction_serial_number</t>
  </si>
  <si>
    <t>Exit_message_date_time</t>
  </si>
  <si>
    <t>BM</t>
  </si>
  <si>
    <t>YYYYMMDDHHMMSSTT</t>
  </si>
  <si>
    <t>Exit_DST_flag</t>
  </si>
  <si>
    <t>1</t>
  </si>
  <si>
    <t>Exit_message_sequence_number</t>
  </si>
  <si>
    <t>Exit_vehicle_sequence_number</t>
  </si>
  <si>
    <t>Entry_plaza_ID</t>
  </si>
  <si>
    <t>Entry_lane_id</t>
  </si>
  <si>
    <t>Entry_message_date_time</t>
  </si>
  <si>
    <t>Toll_time_table_ID</t>
  </si>
  <si>
    <t>Toll_rate_ID</t>
  </si>
  <si>
    <t>0229</t>
  </si>
  <si>
    <t>0178</t>
  </si>
  <si>
    <t>Toll_registered</t>
  </si>
  <si>
    <t>Toll_paid</t>
  </si>
  <si>
    <t>000.00</t>
  </si>
  <si>
    <t>Toll_expected</t>
  </si>
  <si>
    <t>Discount_fare</t>
  </si>
  <si>
    <t>Cash_fare</t>
  </si>
  <si>
    <t>Registered_class</t>
  </si>
  <si>
    <t>AVC_class</t>
  </si>
  <si>
    <t>IAG_mapped_class</t>
  </si>
  <si>
    <t>00</t>
  </si>
  <si>
    <t>01</t>
  </si>
  <si>
    <t>IAG_raw_class</t>
  </si>
  <si>
    <t>Fare_class</t>
  </si>
  <si>
    <t>Registered_axles</t>
  </si>
  <si>
    <t>AVC_axles</t>
  </si>
  <si>
    <t>IAG_raw_axles</t>
  </si>
  <si>
    <t>Operation_mode</t>
  </si>
  <si>
    <t>0072</t>
  </si>
  <si>
    <t>02</t>
  </si>
  <si>
    <t>10</t>
  </si>
  <si>
    <t>ISF_receipt_no</t>
  </si>
  <si>
    <t>********</t>
  </si>
  <si>
    <t>Entry_speed</t>
  </si>
  <si>
    <t>Trx_type</t>
  </si>
  <si>
    <t>***</t>
  </si>
  <si>
    <t>Transponder_agency</t>
  </si>
  <si>
    <t>Transponder_ID</t>
  </si>
  <si>
    <t>Transponder_type</t>
  </si>
  <si>
    <t>0</t>
  </si>
  <si>
    <t>Transponder_program_status</t>
  </si>
  <si>
    <t>Transponder_read_performance</t>
  </si>
  <si>
    <t>Transponder_write_performance</t>
  </si>
  <si>
    <t>03</t>
  </si>
  <si>
    <t>35</t>
  </si>
  <si>
    <t>Image_select</t>
  </si>
  <si>
    <t>UO_code</t>
  </si>
  <si>
    <t>Exit_speed</t>
  </si>
  <si>
    <t>007</t>
  </si>
  <si>
    <t>Transponder_status</t>
  </si>
  <si>
    <t>Lane_status</t>
  </si>
  <si>
    <t>Transaction_status</t>
  </si>
  <si>
    <t>Fare_type</t>
  </si>
  <si>
    <t>00000000000000008000000000000000</t>
  </si>
  <si>
    <t>1000000012808808</t>
  </si>
  <si>
    <t>00847819</t>
  </si>
  <si>
    <t>00053581</t>
  </si>
  <si>
    <t>BQ</t>
  </si>
  <si>
    <t>Exit_PLAZA_id</t>
  </si>
  <si>
    <t>Exit_LANE_ID</t>
  </si>
  <si>
    <t>3</t>
  </si>
  <si>
    <t>18E</t>
  </si>
  <si>
    <t xml:space="preserve">18E </t>
  </si>
  <si>
    <t xml:space="preserve">012 </t>
  </si>
  <si>
    <t>18e</t>
  </si>
  <si>
    <t>2</t>
  </si>
  <si>
    <t>18300000</t>
  </si>
  <si>
    <t>19000000</t>
  </si>
  <si>
    <t>002.00</t>
  </si>
  <si>
    <t>0104350</t>
  </si>
  <si>
    <t>000000104351</t>
  </si>
  <si>
    <t>Field</t>
  </si>
  <si>
    <t>Header</t>
  </si>
  <si>
    <t>Trailer</t>
  </si>
  <si>
    <t>DD</t>
  </si>
  <si>
    <t>Checksum</t>
  </si>
  <si>
    <t>e2ad</t>
  </si>
  <si>
    <t>MM</t>
  </si>
  <si>
    <t>YYYY</t>
  </si>
  <si>
    <t>HHMMSS</t>
  </si>
  <si>
    <t>XFERID</t>
  </si>
  <si>
    <t>Agency ID</t>
  </si>
  <si>
    <t>Record Count</t>
  </si>
  <si>
    <t>Total Revenue</t>
  </si>
  <si>
    <t>Seperator</t>
  </si>
  <si>
    <t>NJTP</t>
  </si>
  <si>
    <t>Filename</t>
  </si>
  <si>
    <t>Tname</t>
  </si>
  <si>
    <t>Directory</t>
  </si>
  <si>
    <t>Data</t>
  </si>
  <si>
    <t>18</t>
  </si>
  <si>
    <t>TEST</t>
  </si>
  <si>
    <t>E:\TSG\Workspace\App\WebApp-01\Files</t>
  </si>
  <si>
    <t>LANE_TX_ID</t>
  </si>
  <si>
    <t>PLATE STATE</t>
  </si>
  <si>
    <t>PLATE NUMBER</t>
  </si>
  <si>
    <t>Number of Notices</t>
  </si>
  <si>
    <t>Number of Violations</t>
  </si>
  <si>
    <t>NJ</t>
  </si>
  <si>
    <t>2018</t>
  </si>
  <si>
    <t>000000104352</t>
  </si>
  <si>
    <t>00847820</t>
  </si>
  <si>
    <t>00053582</t>
  </si>
  <si>
    <t>000000104353</t>
  </si>
  <si>
    <t>00847821</t>
  </si>
  <si>
    <t>00053583</t>
  </si>
  <si>
    <t>111409266457</t>
  </si>
  <si>
    <t>02NION03</t>
  </si>
  <si>
    <t>111409266458</t>
  </si>
  <si>
    <t>111409266459</t>
  </si>
  <si>
    <t>111409266460</t>
  </si>
  <si>
    <t>111409266461</t>
  </si>
  <si>
    <t>111409266462</t>
  </si>
  <si>
    <t>02NION04</t>
  </si>
  <si>
    <t>111409266463</t>
  </si>
  <si>
    <t>111409266464</t>
  </si>
  <si>
    <t>111409266465</t>
  </si>
  <si>
    <t>111409266466</t>
  </si>
  <si>
    <t>111409266467</t>
  </si>
  <si>
    <t>02NION05</t>
  </si>
  <si>
    <t>111409266468</t>
  </si>
  <si>
    <t>111409266469</t>
  </si>
  <si>
    <t>111409266470</t>
  </si>
  <si>
    <t>111409266471</t>
  </si>
  <si>
    <t>111409266472</t>
  </si>
  <si>
    <t>02NION06</t>
  </si>
  <si>
    <t>111409266473</t>
  </si>
  <si>
    <t>111409266474</t>
  </si>
  <si>
    <t>111409266475</t>
  </si>
  <si>
    <t>111409266476</t>
  </si>
  <si>
    <t>111409266477</t>
  </si>
  <si>
    <t>02NION07</t>
  </si>
  <si>
    <t>111409266478</t>
  </si>
  <si>
    <t>111409266479</t>
  </si>
  <si>
    <t>111409266480</t>
  </si>
  <si>
    <t>111409266481</t>
  </si>
  <si>
    <t>111409266482</t>
  </si>
  <si>
    <t>02NION08</t>
  </si>
  <si>
    <t>111409266483</t>
  </si>
  <si>
    <t>111409266484</t>
  </si>
  <si>
    <t>111409266485</t>
  </si>
  <si>
    <t>111409266486</t>
  </si>
  <si>
    <t>111409266487</t>
  </si>
  <si>
    <t>02NION09</t>
  </si>
  <si>
    <t>111409266488</t>
  </si>
  <si>
    <t>111409266489</t>
  </si>
  <si>
    <t>111409266490</t>
  </si>
  <si>
    <t>111409266491</t>
  </si>
  <si>
    <t>111409266492</t>
  </si>
  <si>
    <t>02NION10</t>
  </si>
  <si>
    <t>111409266493</t>
  </si>
  <si>
    <t>111409266494</t>
  </si>
  <si>
    <t>111409266495</t>
  </si>
  <si>
    <t>111409266496</t>
  </si>
  <si>
    <t>000000104354</t>
  </si>
  <si>
    <t>00847822</t>
  </si>
  <si>
    <t>00053584</t>
  </si>
  <si>
    <t>000000104355</t>
  </si>
  <si>
    <t>00847823</t>
  </si>
  <si>
    <t>00053585</t>
  </si>
  <si>
    <t>000000104356</t>
  </si>
  <si>
    <t>00847824</t>
  </si>
  <si>
    <t>00053586</t>
  </si>
  <si>
    <t>000000104357</t>
  </si>
  <si>
    <t>00847825</t>
  </si>
  <si>
    <t>00053587</t>
  </si>
  <si>
    <t>000000104358</t>
  </si>
  <si>
    <t>00847826</t>
  </si>
  <si>
    <t>00053588</t>
  </si>
  <si>
    <t>000000104359</t>
  </si>
  <si>
    <t>00847827</t>
  </si>
  <si>
    <t>00053589</t>
  </si>
  <si>
    <t>000000104360</t>
  </si>
  <si>
    <t>00847828</t>
  </si>
  <si>
    <t>00053590</t>
  </si>
  <si>
    <t>B4637O</t>
  </si>
  <si>
    <t>111409266676</t>
  </si>
  <si>
    <t>111409266677</t>
  </si>
  <si>
    <t>111409266678</t>
  </si>
  <si>
    <t>111409266679</t>
  </si>
  <si>
    <t>111409266680</t>
  </si>
  <si>
    <t>111409266681</t>
  </si>
  <si>
    <t>111409266682</t>
  </si>
  <si>
    <t>000000104361</t>
  </si>
  <si>
    <t>00847829</t>
  </si>
  <si>
    <t>00053591</t>
  </si>
  <si>
    <t>000000104362</t>
  </si>
  <si>
    <t>00847830</t>
  </si>
  <si>
    <t>00053592</t>
  </si>
  <si>
    <t>111409266694</t>
  </si>
  <si>
    <t>LI02MN01</t>
  </si>
  <si>
    <t>111409266695</t>
  </si>
  <si>
    <t>111409266696</t>
  </si>
  <si>
    <t>40</t>
  </si>
  <si>
    <t>2018060419000000</t>
  </si>
  <si>
    <t>2018060418000000</t>
  </si>
  <si>
    <t>2018060419300000</t>
  </si>
  <si>
    <t>2018060418300000</t>
  </si>
  <si>
    <t>2018060420000000</t>
  </si>
  <si>
    <t>2018060420300000</t>
  </si>
  <si>
    <t>2018060421000000</t>
  </si>
  <si>
    <t>2018060421300000</t>
  </si>
  <si>
    <t>2018060422000000</t>
  </si>
  <si>
    <t>2018060422300000</t>
  </si>
  <si>
    <t>2018060423000000</t>
  </si>
  <si>
    <t>2018060423300000</t>
  </si>
  <si>
    <t>2018060500000000</t>
  </si>
  <si>
    <t>2018060500300000</t>
  </si>
  <si>
    <t>000000104363</t>
  </si>
  <si>
    <t>2018060501000000</t>
  </si>
  <si>
    <t>00847831</t>
  </si>
  <si>
    <t>00053593</t>
  </si>
  <si>
    <t>000000104364</t>
  </si>
  <si>
    <t>2018060501300000</t>
  </si>
  <si>
    <t>00847832</t>
  </si>
  <si>
    <t>00053594</t>
  </si>
  <si>
    <t>000000104365</t>
  </si>
  <si>
    <t>2018060502000000</t>
  </si>
  <si>
    <t>00847833</t>
  </si>
  <si>
    <t>00053595</t>
  </si>
  <si>
    <t>000000104366</t>
  </si>
  <si>
    <t>2018060502300000</t>
  </si>
  <si>
    <t>00847834</t>
  </si>
  <si>
    <t>00053596</t>
  </si>
  <si>
    <t>000000104367</t>
  </si>
  <si>
    <t>2018060503000000</t>
  </si>
  <si>
    <t>00847835</t>
  </si>
  <si>
    <t>00053597</t>
  </si>
  <si>
    <t>000000104368</t>
  </si>
  <si>
    <t>2018060503300000</t>
  </si>
  <si>
    <t>00847836</t>
  </si>
  <si>
    <t>00053598</t>
  </si>
  <si>
    <t>000000104369</t>
  </si>
  <si>
    <t>2018060504000000</t>
  </si>
  <si>
    <t>00847837</t>
  </si>
  <si>
    <t>00053599</t>
  </si>
  <si>
    <t>000000104370</t>
  </si>
  <si>
    <t>2018060504300000</t>
  </si>
  <si>
    <t>00847838</t>
  </si>
  <si>
    <t>00053600</t>
  </si>
  <si>
    <t>000000104371</t>
  </si>
  <si>
    <t>2018060505000000</t>
  </si>
  <si>
    <t>00847839</t>
  </si>
  <si>
    <t>00053601</t>
  </si>
  <si>
    <t>000000104372</t>
  </si>
  <si>
    <t>2018060505300000</t>
  </si>
  <si>
    <t>00847840</t>
  </si>
  <si>
    <t>00053602</t>
  </si>
  <si>
    <t>000000104373</t>
  </si>
  <si>
    <t>2018060506000000</t>
  </si>
  <si>
    <t>00847841</t>
  </si>
  <si>
    <t>00053603</t>
  </si>
  <si>
    <t>000000104374</t>
  </si>
  <si>
    <t>2018060506300000</t>
  </si>
  <si>
    <t>00847842</t>
  </si>
  <si>
    <t>00053604</t>
  </si>
  <si>
    <t>000000104375</t>
  </si>
  <si>
    <t>2018060507000000</t>
  </si>
  <si>
    <t>00847843</t>
  </si>
  <si>
    <t>00053605</t>
  </si>
  <si>
    <t>000000104376</t>
  </si>
  <si>
    <t>2018060507300000</t>
  </si>
  <si>
    <t>00847844</t>
  </si>
  <si>
    <t>00053606</t>
  </si>
  <si>
    <t>000000104377</t>
  </si>
  <si>
    <t>2018060508000000</t>
  </si>
  <si>
    <t>00847845</t>
  </si>
  <si>
    <t>00053607</t>
  </si>
  <si>
    <t>000000104378</t>
  </si>
  <si>
    <t>2018060508300000</t>
  </si>
  <si>
    <t>00847846</t>
  </si>
  <si>
    <t>00053608</t>
  </si>
  <si>
    <t>000000104379</t>
  </si>
  <si>
    <t>2018060509000000</t>
  </si>
  <si>
    <t>00847847</t>
  </si>
  <si>
    <t>00053609</t>
  </si>
  <si>
    <t>000000104380</t>
  </si>
  <si>
    <t>2018060509300000</t>
  </si>
  <si>
    <t>00847848</t>
  </si>
  <si>
    <t>00053610</t>
  </si>
  <si>
    <t>000000104381</t>
  </si>
  <si>
    <t>2018060510000000</t>
  </si>
  <si>
    <t>00847849</t>
  </si>
  <si>
    <t>00053611</t>
  </si>
  <si>
    <t>000000104382</t>
  </si>
  <si>
    <t>2018060510300000</t>
  </si>
  <si>
    <t>00847850</t>
  </si>
  <si>
    <t>00053612</t>
  </si>
  <si>
    <t>000000104383</t>
  </si>
  <si>
    <t>2018060511000000</t>
  </si>
  <si>
    <t>00847851</t>
  </si>
  <si>
    <t>00053613</t>
  </si>
  <si>
    <t>000000104384</t>
  </si>
  <si>
    <t>2018060511300000</t>
  </si>
  <si>
    <t>00847852</t>
  </si>
  <si>
    <t>00053614</t>
  </si>
  <si>
    <t>000000104385</t>
  </si>
  <si>
    <t>2018060512000000</t>
  </si>
  <si>
    <t>00847853</t>
  </si>
  <si>
    <t>00053615</t>
  </si>
  <si>
    <t>000000104386</t>
  </si>
  <si>
    <t>2018060512300000</t>
  </si>
  <si>
    <t>00847854</t>
  </si>
  <si>
    <t>00053616</t>
  </si>
  <si>
    <t>000000104387</t>
  </si>
  <si>
    <t>2018060513000000</t>
  </si>
  <si>
    <t>00847855</t>
  </si>
  <si>
    <t>00053617</t>
  </si>
  <si>
    <t>000000104388</t>
  </si>
  <si>
    <t>2018060513300000</t>
  </si>
  <si>
    <t>00847856</t>
  </si>
  <si>
    <t>00053618</t>
  </si>
  <si>
    <t>000000104389</t>
  </si>
  <si>
    <t>2018060514000000</t>
  </si>
  <si>
    <t>00847857</t>
  </si>
  <si>
    <t>00053619</t>
  </si>
  <si>
    <t>000000104390</t>
  </si>
  <si>
    <t>2018060514300000</t>
  </si>
  <si>
    <t>00847858</t>
  </si>
  <si>
    <t>00053620</t>
  </si>
  <si>
    <t>80</t>
  </si>
  <si>
    <t>H012.000900658430032018061201010100000040</t>
  </si>
  <si>
    <t>T00000040e2ad</t>
  </si>
  <si>
    <t>05</t>
  </si>
  <si>
    <t>12</t>
  </si>
  <si>
    <t>NOR</t>
  </si>
  <si>
    <t>20181130</t>
  </si>
  <si>
    <t>171604</t>
  </si>
  <si>
    <t>94267130</t>
  </si>
  <si>
    <t>v20190102121112003.tr</t>
  </si>
  <si>
    <t>5</t>
  </si>
  <si>
    <t>20181230</t>
  </si>
  <si>
    <t>2019</t>
  </si>
  <si>
    <t>124421</t>
  </si>
  <si>
    <t>v20190102124421003.tr</t>
  </si>
  <si>
    <t>94267131</t>
  </si>
  <si>
    <t>8</t>
  </si>
  <si>
    <t>20181226</t>
  </si>
  <si>
    <t>28</t>
  </si>
  <si>
    <t>145401</t>
  </si>
  <si>
    <t>v20181228145401003.tr</t>
  </si>
  <si>
    <t>94267137</t>
  </si>
  <si>
    <t>25</t>
  </si>
  <si>
    <t>20181221</t>
  </si>
  <si>
    <t>24</t>
  </si>
  <si>
    <t>164054</t>
  </si>
  <si>
    <t>v20181224164054003.tr</t>
  </si>
  <si>
    <t>94267138</t>
  </si>
  <si>
    <t>20181210</t>
  </si>
  <si>
    <t>143411</t>
  </si>
  <si>
    <t>v20181212143411003.tr</t>
  </si>
  <si>
    <t>94267150</t>
  </si>
  <si>
    <t>20181204</t>
  </si>
  <si>
    <t>06</t>
  </si>
  <si>
    <t>144143</t>
  </si>
  <si>
    <t>v20181206144143003.tr</t>
  </si>
  <si>
    <t>94267160</t>
  </si>
  <si>
    <t>07</t>
  </si>
  <si>
    <t>144706</t>
  </si>
  <si>
    <t>v20181207144706003.tr</t>
  </si>
  <si>
    <t>94267161</t>
  </si>
  <si>
    <t>50</t>
  </si>
  <si>
    <t>250</t>
  </si>
  <si>
    <t>20181211</t>
  </si>
  <si>
    <t>163326</t>
  </si>
  <si>
    <t>v20181224163326003.tr</t>
  </si>
  <si>
    <t>94267165</t>
  </si>
  <si>
    <t>4</t>
  </si>
  <si>
    <t>20181224</t>
  </si>
  <si>
    <t>26</t>
  </si>
  <si>
    <t>141031</t>
  </si>
  <si>
    <t>v20181226141031003.tr</t>
  </si>
  <si>
    <t>94267178</t>
  </si>
  <si>
    <t>20181212</t>
  </si>
  <si>
    <t>13</t>
  </si>
  <si>
    <t>181528</t>
  </si>
  <si>
    <t>v20181213181528003.tr</t>
  </si>
  <si>
    <t>94267184</t>
  </si>
  <si>
    <t>31</t>
  </si>
  <si>
    <t>182059</t>
  </si>
  <si>
    <t>v20181231182059003.tr</t>
  </si>
  <si>
    <t>94267190</t>
  </si>
  <si>
    <t>20190101</t>
  </si>
  <si>
    <t>183402</t>
  </si>
  <si>
    <t>v20190103183402003.tr</t>
  </si>
  <si>
    <t>94267192</t>
  </si>
  <si>
    <t>183512</t>
  </si>
  <si>
    <t>v20190103183512003.tr</t>
  </si>
  <si>
    <t>94267193</t>
  </si>
  <si>
    <t>20</t>
  </si>
  <si>
    <t>20190103</t>
  </si>
  <si>
    <t>04</t>
  </si>
  <si>
    <t>150925</t>
  </si>
  <si>
    <t>v20190104150925003.tr</t>
  </si>
  <si>
    <t>94267200</t>
  </si>
  <si>
    <t>20190104</t>
  </si>
  <si>
    <t>163032</t>
  </si>
  <si>
    <t>v20190105163032003.tr</t>
  </si>
  <si>
    <t>94267202</t>
  </si>
  <si>
    <t>163337</t>
  </si>
  <si>
    <t>v20190105163337003.tr</t>
  </si>
  <si>
    <t>94267203</t>
  </si>
  <si>
    <t>20190105</t>
  </si>
  <si>
    <t>164552</t>
  </si>
  <si>
    <t>v20190106164552003.tr</t>
  </si>
  <si>
    <t>94267211</t>
  </si>
  <si>
    <t>20190106</t>
  </si>
  <si>
    <t>143412</t>
  </si>
  <si>
    <t>v20190107143412003.tr</t>
  </si>
  <si>
    <t>143425</t>
  </si>
  <si>
    <t>v20190107143425003.tr</t>
  </si>
  <si>
    <t>94267223</t>
  </si>
  <si>
    <t>20190107</t>
  </si>
  <si>
    <t>08</t>
  </si>
  <si>
    <t>181128</t>
  </si>
  <si>
    <t>v20190108181128003.tr</t>
  </si>
  <si>
    <t>94267233</t>
  </si>
  <si>
    <t>182207</t>
  </si>
  <si>
    <t>v20190107182207003.tr</t>
  </si>
  <si>
    <t>94267234</t>
  </si>
  <si>
    <t>122509</t>
  </si>
  <si>
    <t>v20190108122509003.tr</t>
  </si>
  <si>
    <t>94267236</t>
  </si>
  <si>
    <t>144539</t>
  </si>
  <si>
    <t>v20190108144539003.tr</t>
  </si>
  <si>
    <t>94267240</t>
  </si>
  <si>
    <t>20190108</t>
  </si>
  <si>
    <t>09</t>
  </si>
  <si>
    <t>161015</t>
  </si>
  <si>
    <t>v20190109161015003.tr</t>
  </si>
  <si>
    <t>94267242</t>
  </si>
  <si>
    <t>20190109</t>
  </si>
  <si>
    <t>155824</t>
  </si>
  <si>
    <t>v20190110155824003.tr</t>
  </si>
  <si>
    <t>94267244</t>
  </si>
  <si>
    <t>20190110</t>
  </si>
  <si>
    <t>11</t>
  </si>
  <si>
    <t>122849</t>
  </si>
  <si>
    <t>v20190111122849003.tr</t>
  </si>
  <si>
    <t>94267247</t>
  </si>
  <si>
    <t>20190111</t>
  </si>
  <si>
    <t>145735</t>
  </si>
  <si>
    <t>v20190112145735003.tr</t>
  </si>
  <si>
    <t>94267250</t>
  </si>
  <si>
    <t>20190112</t>
  </si>
  <si>
    <t>155244</t>
  </si>
  <si>
    <t>v20190113155244003.tr</t>
  </si>
  <si>
    <t>94267252</t>
  </si>
  <si>
    <t>15</t>
  </si>
  <si>
    <t>20190113</t>
  </si>
  <si>
    <t>14</t>
  </si>
  <si>
    <t>193403</t>
  </si>
  <si>
    <t>v20190114193403003.tr</t>
  </si>
  <si>
    <t>94267256</t>
  </si>
  <si>
    <t>20190114</t>
  </si>
  <si>
    <t>195243</t>
  </si>
  <si>
    <t>v20190115195243003.tr</t>
  </si>
  <si>
    <t>94267257</t>
  </si>
  <si>
    <t>20190214</t>
  </si>
  <si>
    <t>184137</t>
  </si>
  <si>
    <t>v20190115184137003.tr</t>
  </si>
  <si>
    <t>94267261</t>
  </si>
  <si>
    <t>184441</t>
  </si>
  <si>
    <t>v20190115184441003.tr</t>
  </si>
  <si>
    <t>94267262</t>
  </si>
  <si>
    <t>20190115</t>
  </si>
  <si>
    <t>16</t>
  </si>
  <si>
    <t>120152</t>
  </si>
  <si>
    <t>v20190116120152003.tr</t>
  </si>
  <si>
    <t>94267265</t>
  </si>
  <si>
    <t>94267266</t>
  </si>
  <si>
    <t>20190116</t>
  </si>
  <si>
    <t>17</t>
  </si>
  <si>
    <t>141933</t>
  </si>
  <si>
    <t>v20190117141933003.tr</t>
  </si>
  <si>
    <t>94267270</t>
  </si>
  <si>
    <t>20190102</t>
  </si>
  <si>
    <t>164325</t>
  </si>
  <si>
    <t>v20190205164325003.tr</t>
  </si>
  <si>
    <t>94267276</t>
  </si>
  <si>
    <t>180357</t>
  </si>
  <si>
    <t>v20190117180357003.tr</t>
  </si>
  <si>
    <t>94267319</t>
  </si>
  <si>
    <t>20190117</t>
  </si>
  <si>
    <t>151842</t>
  </si>
  <si>
    <t>v20190118151842003.tr</t>
  </si>
  <si>
    <t>94267322</t>
  </si>
  <si>
    <t>20190218</t>
  </si>
  <si>
    <t>19</t>
  </si>
  <si>
    <t>175905</t>
  </si>
  <si>
    <t>v20190219175905003.tr</t>
  </si>
  <si>
    <t>94267617</t>
  </si>
  <si>
    <t>20190213</t>
  </si>
  <si>
    <t>152158</t>
  </si>
  <si>
    <t>v20190218152158003.tr</t>
  </si>
  <si>
    <t>94267701</t>
  </si>
  <si>
    <t>20190215</t>
  </si>
  <si>
    <t>191127</t>
  </si>
  <si>
    <t>v20190216191127003.tr</t>
  </si>
  <si>
    <t>94267881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</si>
</sst>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6" formatCode="&quot;$&quot;#,##0_);[Red]\(&quot;$&quot;#,##0\)"/>
  </numFmts>
  <fonts count="10" x14ac:knownFonts="1">
    <font>
      <sz val="11"/>
      <color theme="1"/>
      <name val="Calibri"/>
      <family val="2"/>
      <scheme val="minor"/>
    </font>
    <font>
      <sz val="11"/>
      <color rgb="FF000000"/>
      <name val="Calibri"/>
      <family val="2"/>
    </font>
    <font>
      <sz val="9"/>
      <color indexed="81"/>
      <name val="Tahoma"/>
      <family val="2"/>
    </font>
    <font>
      <b/>
      <sz val="9"/>
      <color indexed="81"/>
      <name val="Tahoma"/>
      <family val="2"/>
    </font>
    <font>
      <sz val="8"/>
      <color theme="1"/>
      <name val="Calibri"/>
      <family val="2"/>
      <scheme val="minor"/>
    </font>
    <font>
      <b/>
      <sz val="11"/>
      <color theme="1"/>
      <name val="Calibri"/>
      <family val="2"/>
      <scheme val="minor"/>
    </font>
    <font>
      <b/>
      <sz val="8"/>
      <color theme="1"/>
      <name val="Calibri"/>
      <family val="2"/>
      <scheme val="minor"/>
    </font>
    <font>
      <b/>
      <sz val="11"/>
      <color theme="0"/>
      <name val="Calibri"/>
      <family val="2"/>
      <scheme val="minor"/>
    </font>
    <font>
      <sz val="11"/>
      <color theme="0"/>
      <name val="Calibri"/>
      <family val="2"/>
      <scheme val="minor"/>
    </font>
    <font>
      <sz val="72"/>
      <color rgb="FFFFFF00"/>
      <name val="Calibri"/>
      <family val="2"/>
      <scheme val="minor"/>
    </font>
  </fonts>
  <fills count="15">
    <fill>
      <patternFill patternType="none"/>
    </fill>
    <fill>
      <patternFill patternType="gray125"/>
    </fill>
    <fill>
      <patternFill patternType="solid">
        <fgColor theme="0" tint="-0.249977111117893"/>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rgb="FFC5D9F1"/>
        <bgColor indexed="64"/>
      </patternFill>
    </fill>
    <fill>
      <patternFill patternType="solid">
        <fgColor rgb="FFC4BD97"/>
        <bgColor indexed="64"/>
      </patternFill>
    </fill>
    <fill>
      <patternFill patternType="solid">
        <fgColor rgb="FFFFFF00"/>
        <bgColor indexed="64"/>
      </patternFill>
    </fill>
    <fill>
      <patternFill patternType="solid">
        <fgColor theme="1" tint="4.9989318521683403E-2"/>
        <bgColor indexed="64"/>
      </patternFill>
    </fill>
    <fill>
      <patternFill patternType="solid">
        <fgColor rgb="FFC00000"/>
        <bgColor indexed="64"/>
      </patternFill>
    </fill>
    <fill>
      <patternFill patternType="solid">
        <fgColor theme="4" tint="-0.249977111117893"/>
        <bgColor indexed="64"/>
      </patternFill>
    </fill>
    <fill>
      <patternFill patternType="solid">
        <fgColor rgb="FF92D050"/>
        <bgColor indexed="64"/>
      </patternFill>
    </fill>
    <fill>
      <patternFill patternType="solid">
        <fgColor rgb="FF002060"/>
        <bgColor indexed="64"/>
      </patternFill>
    </fill>
    <fill>
      <patternFill patternType="solid">
        <fgColor theme="0" tint="-0.499984740745262"/>
        <bgColor indexed="64"/>
      </patternFill>
    </fill>
    <fill>
      <patternFill patternType="solid">
        <fgColor theme="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s>
  <cellStyleXfs count="1">
    <xf borderId="0" fillId="0" fontId="0" numFmtId="0"/>
  </cellStyleXfs>
  <cellXfs count="66">
    <xf borderId="0" fillId="0" fontId="0" numFmtId="0" xfId="0"/>
    <xf borderId="0" fillId="0" fontId="0" numFmtId="0" quotePrefix="1" xfId="0"/>
    <xf applyAlignment="1" borderId="0" fillId="0" fontId="0" numFmtId="0" xfId="0">
      <alignment horizontal="left"/>
    </xf>
    <xf applyAlignment="1" borderId="0" fillId="0" fontId="0" numFmtId="0" xfId="0">
      <alignment horizontal="center"/>
    </xf>
    <xf applyAlignment="1" borderId="0" fillId="0" fontId="0" numFmtId="0" quotePrefix="1" xfId="0">
      <alignment horizontal="center"/>
    </xf>
    <xf applyAlignment="1" applyBorder="1" borderId="0" fillId="0" fontId="0" numFmtId="0" xfId="0">
      <alignment horizontal="left"/>
    </xf>
    <xf applyAlignment="1" applyBorder="1" borderId="0" fillId="0" fontId="0" numFmtId="0" xfId="0">
      <alignment horizontal="center"/>
    </xf>
    <xf applyAlignment="1" applyBorder="1" applyFill="1" borderId="1" fillId="2" fontId="0" numFmtId="0" xfId="0">
      <alignment horizontal="center"/>
    </xf>
    <xf applyBorder="1" applyFill="1" borderId="1" fillId="2" fontId="0" numFmtId="0" xfId="0"/>
    <xf applyAlignment="1" applyBorder="1" applyFill="1" borderId="1" fillId="2" fontId="0" numFmtId="0" xfId="0">
      <alignment horizontal="left"/>
    </xf>
    <xf applyAlignment="1" applyBorder="1" applyFill="1" borderId="1" fillId="2" fontId="0" numFmtId="0" xfId="0">
      <alignment horizontal="center"/>
    </xf>
    <xf applyAlignment="1" applyBorder="1" applyFill="1" borderId="1" fillId="2" fontId="0" numFmtId="0" xfId="0">
      <alignment horizontal="left" wrapText="1"/>
    </xf>
    <xf applyAlignment="1" applyBorder="1" applyFill="1" borderId="1" fillId="3" fontId="0" numFmtId="0" xfId="0">
      <alignment horizontal="left"/>
    </xf>
    <xf applyAlignment="1" applyBorder="1" applyFill="1" borderId="1" fillId="3" fontId="0" numFmtId="0" xfId="0">
      <alignment horizontal="center"/>
    </xf>
    <xf applyAlignment="1" applyBorder="1" applyFill="1" borderId="1" fillId="3" fontId="0" numFmtId="0" xfId="0"/>
    <xf applyAlignment="1" applyBorder="1" applyFill="1" applyNumberFormat="1" borderId="1" fillId="3" fontId="0" numFmtId="1" quotePrefix="1" xfId="0">
      <alignment horizontal="center"/>
    </xf>
    <xf applyAlignment="1" applyBorder="1" applyFill="1" applyNumberFormat="1" borderId="1" fillId="3" fontId="0" numFmtId="49" xfId="0">
      <alignment horizontal="center"/>
    </xf>
    <xf applyAlignment="1" applyBorder="1" applyFill="1" borderId="1" fillId="3" fontId="0" numFmtId="0" quotePrefix="1" xfId="0">
      <alignment horizontal="left"/>
    </xf>
    <xf applyAlignment="1" applyBorder="1" applyFill="1" borderId="1" fillId="4" fontId="0" numFmtId="0" quotePrefix="1" xfId="0">
      <alignment horizontal="center"/>
    </xf>
    <xf applyFill="1" borderId="0" fillId="4" fontId="0" numFmtId="0" xfId="0"/>
    <xf applyAlignment="1" applyBorder="1" applyFill="1" borderId="1" fillId="2" fontId="0" numFmtId="0" xfId="0">
      <alignment horizontal="center"/>
    </xf>
    <xf applyAlignment="1" applyBorder="1" applyFill="1" borderId="4" fillId="4" fontId="0" numFmtId="0" quotePrefix="1" xfId="0">
      <alignment horizontal="center"/>
    </xf>
    <xf applyAlignment="1" applyBorder="1" applyFill="1" applyFont="1" borderId="1" fillId="3" fontId="4" numFmtId="0" xfId="0">
      <alignment horizontal="center"/>
    </xf>
    <xf applyAlignment="1" applyBorder="1" applyNumberFormat="1" borderId="1" fillId="0" fontId="0" numFmtId="49" quotePrefix="1" xfId="0">
      <alignment horizontal="left"/>
    </xf>
    <xf applyBorder="1" borderId="1" fillId="0" fontId="0" numFmtId="0" quotePrefix="1" xfId="0"/>
    <xf applyNumberFormat="1" borderId="0" fillId="0" fontId="0" numFmtId="6" quotePrefix="1" xfId="0"/>
    <xf applyAlignment="1" borderId="0" fillId="0" fontId="0" numFmtId="0" quotePrefix="1" xfId="0">
      <alignment wrapText="1"/>
    </xf>
    <xf applyAlignment="1" borderId="0" fillId="0" fontId="0" numFmtId="0" xfId="0">
      <alignment wrapText="1"/>
    </xf>
    <xf applyAlignment="1" applyBorder="1" applyFill="1" borderId="1" fillId="2" fontId="0" numFmtId="0" xfId="0">
      <alignment horizontal="center"/>
    </xf>
    <xf applyAlignment="1" applyBorder="1" applyFill="1" borderId="1" fillId="2" fontId="0" numFmtId="0" xfId="0">
      <alignment horizontal="center"/>
    </xf>
    <xf applyAlignment="1" applyBorder="1" applyFill="1" borderId="1" fillId="3" fontId="0" numFmtId="0" quotePrefix="1" xfId="0">
      <alignment horizontal="center"/>
    </xf>
    <xf applyBorder="1" applyFont="1" borderId="1" fillId="0" fontId="5" numFmtId="0" xfId="0"/>
    <xf applyAlignment="1" applyBorder="1" applyFont="1" borderId="1" fillId="0" fontId="5" numFmtId="0" xfId="0">
      <alignment horizontal="left"/>
    </xf>
    <xf applyAlignment="1" applyBorder="1" borderId="1" fillId="0" fontId="0" numFmtId="0" xfId="0">
      <alignment horizontal="left"/>
    </xf>
    <xf applyBorder="1" borderId="1" fillId="0" fontId="0" numFmtId="0" xfId="0"/>
    <xf applyAlignment="1" applyBorder="1" applyNumberFormat="1" borderId="1" fillId="0" fontId="0" numFmtId="14" xfId="0">
      <alignment horizontal="left"/>
    </xf>
    <xf applyAlignment="1" applyBorder="1" applyFont="1" borderId="5" fillId="0" fontId="1" numFmtId="0" xfId="0">
      <alignment horizontal="right" vertical="center"/>
    </xf>
    <xf applyAlignment="1" applyBorder="1" applyFill="1" applyFont="1" borderId="5" fillId="5" fontId="1" numFmtId="0" xfId="0">
      <alignment horizontal="center" vertical="center"/>
    </xf>
    <xf applyAlignment="1" applyBorder="1" applyFill="1" applyFont="1" borderId="5" fillId="6" fontId="1" numFmtId="0" xfId="0">
      <alignment horizontal="center" vertical="center"/>
    </xf>
    <xf applyNumberFormat="1" borderId="0" fillId="0" fontId="0" numFmtId="14" xfId="0"/>
    <xf applyAlignment="1" borderId="0" fillId="0" fontId="0" numFmtId="0" quotePrefix="1" xfId="0">
      <alignment horizontal="left"/>
    </xf>
    <xf applyAlignment="1" applyBorder="1" applyFill="1" applyFont="1" borderId="1" fillId="3" fontId="6" numFmtId="0" xfId="0">
      <alignment horizontal="center"/>
    </xf>
    <xf applyBorder="1" applyFill="1" borderId="1" fillId="4" fontId="0" numFmtId="0" xfId="0"/>
    <xf applyNumberFormat="1" borderId="0" fillId="0" fontId="0" numFmtId="14" quotePrefix="1" xfId="0"/>
    <xf applyNumberFormat="1" borderId="0" fillId="0" fontId="0" numFmtId="2" quotePrefix="1" xfId="0"/>
    <xf applyAlignment="1" applyBorder="1" applyFill="1" borderId="1" fillId="4" fontId="0" numFmtId="0" quotePrefix="1" xfId="0">
      <alignment horizontal="center" wrapText="1"/>
    </xf>
    <xf applyAlignment="1" applyBorder="1" applyFill="1" borderId="4" fillId="7" fontId="0" numFmtId="0" quotePrefix="1" xfId="0">
      <alignment horizontal="center"/>
    </xf>
    <xf applyFill="1" applyFont="1" applyNumberFormat="1" borderId="0" fillId="8" fontId="7" numFmtId="49" xfId="0"/>
    <xf applyAlignment="1" applyFill="1" applyNumberFormat="1" borderId="0" fillId="9" fontId="0" numFmtId="49" xfId="0">
      <alignment horizontal="left"/>
    </xf>
    <xf applyFill="1" applyNumberFormat="1" borderId="0" fillId="9" fontId="0" numFmtId="49" xfId="0"/>
    <xf applyFill="1" applyFont="1" applyNumberFormat="1" borderId="0" fillId="10" fontId="7" numFmtId="49" xfId="0"/>
    <xf applyAlignment="1" applyBorder="1" applyFill="1" applyNumberFormat="1" borderId="1" fillId="11" fontId="0" numFmtId="49" xfId="0">
      <alignment horizontal="left"/>
    </xf>
    <xf applyBorder="1" applyFill="1" applyFont="1" applyNumberFormat="1" borderId="6" fillId="10" fontId="7" numFmtId="49" xfId="0"/>
    <xf applyBorder="1" applyFill="1" applyFont="1" borderId="0" fillId="10" fontId="7" numFmtId="0" xfId="0"/>
    <xf applyFill="1" applyNumberFormat="1" borderId="0" fillId="11" fontId="0" numFmtId="49" xfId="0"/>
    <xf applyAlignment="1" applyBorder="1" applyFill="1" applyNumberFormat="1" borderId="1" fillId="11" fontId="0" numFmtId="49" quotePrefix="1" xfId="0">
      <alignment horizontal="left"/>
    </xf>
    <xf applyFill="1" borderId="0" fillId="11" fontId="0" numFmtId="0" quotePrefix="1" xfId="0"/>
    <xf applyFill="1" applyFont="1" applyNumberFormat="1" borderId="0" fillId="12" fontId="8" numFmtId="49" xfId="0"/>
    <xf applyFill="1" applyNumberFormat="1" borderId="0" fillId="13" fontId="0" numFmtId="49" xfId="0"/>
    <xf applyBorder="1" applyFill="1" applyNumberFormat="1" borderId="1" fillId="14" fontId="0" numFmtId="49" xfId="0"/>
    <xf applyBorder="1" applyFill="1" applyFont="1" applyNumberFormat="1" borderId="1" fillId="12" fontId="7" numFmtId="49" xfId="0"/>
    <xf applyAlignment="1" applyBorder="1" applyFill="1" borderId="1" fillId="2" fontId="0" numFmtId="0" xfId="0">
      <alignment horizontal="center"/>
    </xf>
    <xf applyAlignment="1" applyBorder="1" applyFill="1" borderId="3" fillId="2" fontId="0" numFmtId="0" xfId="0">
      <alignment horizontal="center"/>
    </xf>
    <xf applyAlignment="1" applyBorder="1" applyFill="1" borderId="2" fillId="2" fontId="0" numFmtId="0" xfId="0">
      <alignment horizontal="center"/>
    </xf>
    <xf applyAlignment="1" applyFill="1" applyFont="1" applyNumberFormat="1" borderId="0" fillId="9" fontId="9" numFmtId="49" xfId="0">
      <alignment horizontal="center"/>
    </xf>
    <xf applyAlignment="1" applyFont="1" borderId="0" fillId="0" fontId="9" numFmtId="0" xfId="0">
      <alignment horizontal="center"/>
    </xf>
  </cellXfs>
  <cellStyles count="1">
    <cellStyle builtinId="0" name="Normal" xfId="0"/>
  </cellStyles>
  <dxfs count="0"/>
  <tableStyles count="0" defaultPivotStyle="PivotStyleLight16" defaultTableStyle="TableStyleMedium9"/>
  <extLst>
    <ext xmlns:x14="http://schemas.microsoft.com/office/spreadsheetml/2009/9/main" uri="{EB79DEF2-80B8-43e5-95BD-54CBDDF9020C}">
      <x14:slicerStyles defaultSlicerStyl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10" Target="theme/theme1.xml" Type="http://schemas.openxmlformats.org/officeDocument/2006/relationships/theme"/>
<Relationship Id="rId11" Target="styles.xml" Type="http://schemas.openxmlformats.org/officeDocument/2006/relationships/styles"/>
<Relationship Id="rId12" Target="sharedStrings.xml" Type="http://schemas.openxmlformats.org/officeDocument/2006/relationships/sharedStrings"/>
<Relationship Id="rId13" Target="calcChain.xml" Type="http://schemas.openxmlformats.org/officeDocument/2006/relationships/calcChain"/>
<Relationship Id="rId14" Target="vbaProject.bin" Type="http://schemas.microsoft.com/office/2006/relationships/vbaProjec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7</xdr:col>
          <xdr:colOff>9525</xdr:colOff>
          <xdr:row>19</xdr:row>
          <xdr:rowOff>47625</xdr:rowOff>
        </xdr:to>
        <xdr:sp macro="" textlink="">
          <xdr:nvSpPr>
            <xdr:cNvPr hidden="1" id="2063" name="Button 15">
              <a:extLst>
                <a:ext uri="{63B3BB69-23CF-44E3-9099-C40C66FF867C}">
                  <a14:compatExt spid="_x0000_s2063"/>
                </a:ext>
              </a:extLst>
            </xdr:cNvPr>
            <xdr:cNvSpPr/>
          </xdr:nvSpPr>
          <xdr:spPr>
            <a:xfrm>
              <a:off x="0" y="0"/>
              <a:ext cx="0" cy="0"/>
            </a:xfrm>
            <a:prstGeom prst="rect">
              <a:avLst/>
            </a:prstGeom>
          </xdr:spPr>
          <xdr:txBody>
            <a:bodyPr anchor="ctr" bIns="27432" lIns="27432" rIns="27432" tIns="27432" upright="1" vertOverflow="clip" wrap="square"/>
            <a:lstStyle/>
            <a:p>
              <a:pPr algn="ctr" rtl="0">
                <a:defRPr sz="1000"/>
              </a:pPr>
              <a:r>
                <a:rPr b="0" baseline="0" i="0" lang="en-US" strike="noStrike" sz="1100" u="none">
                  <a:solidFill>
                    <a:srgbClr val="000000"/>
                  </a:solidFill>
                  <a:latin typeface="Calibri"/>
                </a:rPr>
                <a:t>Populate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0</xdr:rowOff>
        </xdr:from>
        <xdr:to>
          <xdr:col>7</xdr:col>
          <xdr:colOff>9525</xdr:colOff>
          <xdr:row>22</xdr:row>
          <xdr:rowOff>47625</xdr:rowOff>
        </xdr:to>
        <xdr:sp macro="" textlink="">
          <xdr:nvSpPr>
            <xdr:cNvPr hidden="1" id="2069" name="Button 21">
              <a:extLst>
                <a:ext uri="{63B3BB69-23CF-44E3-9099-C40C66FF867C}">
                  <a14:compatExt spid="_x0000_s2069"/>
                </a:ext>
              </a:extLst>
            </xdr:cNvPr>
            <xdr:cNvSpPr/>
          </xdr:nvSpPr>
          <xdr:spPr>
            <a:xfrm>
              <a:off x="0" y="0"/>
              <a:ext cx="0" cy="0"/>
            </a:xfrm>
            <a:prstGeom prst="rect">
              <a:avLst/>
            </a:prstGeom>
          </xdr:spPr>
          <xdr:txBody>
            <a:bodyPr anchor="ctr" bIns="27432" lIns="27432" rIns="27432" tIns="27432" upright="1" vertOverflow="clip" wrap="square"/>
            <a:lstStyle/>
            <a:p>
              <a:pPr algn="ctr" rtl="0">
                <a:defRPr sz="1000"/>
              </a:pPr>
              <a:r>
                <a:rPr b="0" baseline="0" i="0" lang="en-US" strike="noStrike" sz="1100" u="none">
                  <a:solidFill>
                    <a:srgbClr val="000000"/>
                  </a:solidFill>
                  <a:latin typeface="Calibri"/>
                </a:rPr>
                <a:t>Export Data To File</a:t>
              </a:r>
            </a:p>
            <a:p>
              <a:pPr algn="ctr" rtl="0">
                <a:defRPr sz="1000"/>
              </a:pPr>
              <a:endParaRPr b="0" baseline="0" i="0" lang="en-US" strike="noStrike" sz="1100" u="none">
                <a:solidFill>
                  <a:srgbClr val="000000"/>
                </a:solidFill>
                <a:latin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lastClr="000000" val="windowText"/>
      </a:dk1>
      <a:lt1>
        <a:sysClr lastClr="FFFFFF" val="window"/>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algn="ctr" cap="flat" cmpd="sng" w="9525">
          <a:solidFill>
            <a:schemeClr val="phClr">
              <a:shade val="95000"/>
              <a:satMod val="105000"/>
            </a:schemeClr>
          </a:solidFill>
          <a:prstDash val="solid"/>
        </a:ln>
        <a:ln algn="ctr" cap="flat" cmpd="sng" w="25400">
          <a:solidFill>
            <a:schemeClr val="phClr"/>
          </a:solidFill>
          <a:prstDash val="solid"/>
        </a:ln>
        <a:ln algn="ctr" cap="flat" cmpd="sng" w="38100">
          <a:solidFill>
            <a:schemeClr val="phClr"/>
          </a:solidFill>
          <a:prstDash val="solid"/>
        </a:ln>
      </a:lnStyleLst>
      <a:effectStyleLst>
        <a:effectStyle>
          <a:effectLst>
            <a:outerShdw blurRad="40000" dir="5400000" dist="20000" rotWithShape="0">
              <a:srgbClr val="000000">
                <a:alpha val="38000"/>
              </a:srgbClr>
            </a:outerShdw>
          </a:effectLst>
        </a:effectStyle>
        <a:effectStyle>
          <a:effectLst>
            <a:outerShdw blurRad="40000" dir="5400000" dist="23000" rotWithShape="0">
              <a:srgbClr val="000000">
                <a:alpha val="35000"/>
              </a:srgbClr>
            </a:outerShdw>
          </a:effectLst>
        </a:effectStyle>
        <a:effectStyle>
          <a:effectLst>
            <a:outerShdw blurRad="40000" dir="5400000" dist="23000" rotWithShape="0">
              <a:srgbClr val="000000">
                <a:alpha val="35000"/>
              </a:srgbClr>
            </a:outerShdw>
          </a:effectLst>
          <a:scene3d>
            <a:camera prst="orthographicFront">
              <a:rot lat="0" lon="0" rev="0"/>
            </a:camera>
            <a:lightRig dir="t" rig="threePt">
              <a:rot lat="0" lon="0" rev="1200000"/>
            </a:lightRig>
          </a:scene3d>
          <a:sp3d>
            <a:bevelT h="25400" w="635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b="180000" l="50000" r="50000" t="-80000"/>
          </a:path>
        </a:gradFill>
        <a:gradFill rotWithShape="1">
          <a:gsLst>
            <a:gs pos="0">
              <a:schemeClr val="phClr">
                <a:tint val="80000"/>
                <a:satMod val="300000"/>
              </a:schemeClr>
            </a:gs>
            <a:gs pos="100000">
              <a:schemeClr val="phClr">
                <a:shade val="30000"/>
                <a:satMod val="200000"/>
              </a:schemeClr>
            </a:gs>
          </a:gsLst>
          <a:path path="circle">
            <a:fillToRect b="50000" l="50000" r="50000" t="50000"/>
          </a:path>
        </a:gradFill>
      </a:bgFillStyleLst>
    </a:fmtScheme>
  </a:themeElements>
  <a:objectDefaults/>
  <a:extraClrSchemeLst/>
</a:theme>
</file>

<file path=xl/worksheets/_rels/sheet3.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 Id="rId3" Target="../drawings/vmlDrawing1.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 Id="rId6" Target="../comments1.xml" Type="http://schemas.openxmlformats.org/officeDocument/2006/relationships/comments"/>
</Relationships>

</file>

<file path=xl/worksheets/sheet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7"/>
  <dimension ref="A2:E25"/>
  <sheetViews>
    <sheetView workbookViewId="0">
      <selection activeCell="D11" sqref="D11"/>
    </sheetView>
  </sheetViews>
  <sheetFormatPr defaultRowHeight="15" x14ac:dyDescent="0.25"/>
  <cols>
    <col min="2" max="2" customWidth="true" style="2" width="13.7109375" collapsed="true"/>
    <col min="3" max="3" customWidth="true" width="12.42578125" collapsed="true"/>
    <col min="4" max="4" customWidth="true" width="119.42578125" collapsed="true"/>
  </cols>
  <sheetData>
    <row r="2" spans="1:4" x14ac:dyDescent="0.25">
      <c r="A2" s="31" t="s">
        <v>66</v>
      </c>
      <c r="B2" s="32" t="s">
        <v>67</v>
      </c>
      <c r="C2" s="31" t="s">
        <v>68</v>
      </c>
      <c r="D2" s="31" t="s">
        <v>69</v>
      </c>
    </row>
    <row r="3" spans="1:4" x14ac:dyDescent="0.25">
      <c r="A3" s="24" t="s">
        <v>70</v>
      </c>
      <c r="B3" s="35">
        <v>41686</v>
      </c>
      <c r="C3" s="34" t="s">
        <v>71</v>
      </c>
      <c r="D3" s="34" t="s">
        <v>72</v>
      </c>
    </row>
    <row r="4" spans="1:4" x14ac:dyDescent="0.25">
      <c r="A4" s="24" t="s">
        <v>73</v>
      </c>
      <c r="B4" s="35">
        <v>41785</v>
      </c>
      <c r="C4" s="34" t="s">
        <v>71</v>
      </c>
      <c r="D4" s="34" t="s">
        <v>74</v>
      </c>
    </row>
    <row r="5" spans="1:4" x14ac:dyDescent="0.25">
      <c r="A5" s="24" t="s">
        <v>81</v>
      </c>
      <c r="B5" s="35">
        <v>41787</v>
      </c>
      <c r="C5" s="34" t="s">
        <v>71</v>
      </c>
      <c r="D5" s="34" t="s">
        <v>82</v>
      </c>
    </row>
    <row r="6" spans="1:4" x14ac:dyDescent="0.25">
      <c r="A6" s="24" t="s">
        <v>83</v>
      </c>
      <c r="B6" s="35">
        <v>41794</v>
      </c>
      <c r="C6" s="34" t="s">
        <v>71</v>
      </c>
      <c r="D6" s="34" t="s">
        <v>84</v>
      </c>
    </row>
    <row r="7" spans="1:4" x14ac:dyDescent="0.25">
      <c r="A7" s="34"/>
      <c r="B7" s="33"/>
      <c r="C7" s="34"/>
      <c r="D7" s="34"/>
    </row>
    <row r="8" spans="1:4" x14ac:dyDescent="0.25">
      <c r="A8" s="34"/>
      <c r="B8" s="33"/>
      <c r="C8" s="34"/>
      <c r="D8" s="34"/>
    </row>
    <row r="9" spans="1:4" x14ac:dyDescent="0.25">
      <c r="A9" s="34"/>
      <c r="B9" s="33"/>
      <c r="C9" s="34"/>
      <c r="D9" s="34"/>
    </row>
    <row r="10" spans="1:4" x14ac:dyDescent="0.25">
      <c r="A10" s="34"/>
      <c r="B10" s="33"/>
      <c r="C10" s="34"/>
      <c r="D10" s="34"/>
    </row>
    <row r="11" spans="1:4" x14ac:dyDescent="0.25">
      <c r="A11" s="34"/>
      <c r="B11" s="33"/>
      <c r="C11" s="34"/>
      <c r="D11" s="34"/>
    </row>
    <row r="12" spans="1:4" x14ac:dyDescent="0.25">
      <c r="A12" s="34"/>
      <c r="B12" s="33"/>
      <c r="C12" s="34"/>
      <c r="D12" s="34"/>
    </row>
    <row r="13" spans="1:4" x14ac:dyDescent="0.25">
      <c r="A13" s="34"/>
      <c r="B13" s="33"/>
      <c r="C13" s="34"/>
      <c r="D13" s="34"/>
    </row>
    <row r="14" spans="1:4" x14ac:dyDescent="0.25">
      <c r="A14" s="34"/>
      <c r="B14" s="33"/>
      <c r="C14" s="34"/>
      <c r="D14" s="34"/>
    </row>
    <row r="15" spans="1:4" x14ac:dyDescent="0.25">
      <c r="A15" s="34"/>
      <c r="B15" s="33"/>
      <c r="C15" s="34"/>
      <c r="D15" s="34"/>
    </row>
    <row r="16" spans="1:4" x14ac:dyDescent="0.25">
      <c r="A16" s="34"/>
      <c r="B16" s="33"/>
      <c r="C16" s="34"/>
      <c r="D16" s="34"/>
    </row>
    <row r="17" spans="1:4" x14ac:dyDescent="0.25">
      <c r="A17" s="34"/>
      <c r="B17" s="33"/>
      <c r="C17" s="34"/>
      <c r="D17" s="34"/>
    </row>
    <row r="18" spans="1:4" x14ac:dyDescent="0.25">
      <c r="A18" s="34"/>
      <c r="B18" s="33"/>
      <c r="C18" s="34"/>
      <c r="D18" s="34"/>
    </row>
    <row r="19" spans="1:4" x14ac:dyDescent="0.25">
      <c r="A19" s="34"/>
      <c r="B19" s="33"/>
      <c r="C19" s="34"/>
      <c r="D19" s="34"/>
    </row>
    <row r="20" spans="1:4" x14ac:dyDescent="0.25">
      <c r="A20" s="34"/>
      <c r="B20" s="33"/>
      <c r="C20" s="34"/>
      <c r="D20" s="34"/>
    </row>
    <row r="21" spans="1:4" x14ac:dyDescent="0.25">
      <c r="A21" s="34"/>
      <c r="B21" s="33"/>
      <c r="C21" s="34"/>
      <c r="D21" s="34"/>
    </row>
    <row r="22" spans="1:4" x14ac:dyDescent="0.25">
      <c r="A22" s="34"/>
      <c r="B22" s="33"/>
      <c r="C22" s="34"/>
      <c r="D22" s="34"/>
    </row>
    <row r="23" spans="1:4" x14ac:dyDescent="0.25">
      <c r="A23" s="34"/>
      <c r="B23" s="33"/>
      <c r="C23" s="34"/>
      <c r="D23" s="34"/>
    </row>
    <row r="24" spans="1:4" x14ac:dyDescent="0.25">
      <c r="A24" s="34"/>
      <c r="B24" s="33"/>
      <c r="C24" s="34"/>
      <c r="D24" s="34"/>
    </row>
    <row r="25" spans="1:4" x14ac:dyDescent="0.25">
      <c r="A25" s="34"/>
      <c r="B25" s="33"/>
      <c r="C25" s="34"/>
      <c r="D25" s="34"/>
    </row>
  </sheetData>
  <pageMargins bottom="0.75" footer="0.3" header="0.3" left="0.7" right="0.7" top="0.75"/>
</worksheet>
</file>

<file path=xl/worksheets/sheet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3"/>
  <dimension ref="A1:AB67"/>
  <sheetViews>
    <sheetView workbookViewId="0">
      <selection activeCell="B5" sqref="B5"/>
    </sheetView>
  </sheetViews>
  <sheetFormatPr defaultRowHeight="15" x14ac:dyDescent="0.25"/>
  <cols>
    <col min="1" max="1" customWidth="true" width="3.5703125" collapsed="true"/>
    <col min="2" max="2" customWidth="true" style="27" width="181.140625" collapsed="true"/>
  </cols>
  <sheetData>
    <row ht="30" r="1" spans="1:27" x14ac:dyDescent="0.25">
      <c r="A1" s="1"/>
      <c r="B1" s="27" t="s">
        <v>57</v>
      </c>
      <c r="C1" s="1"/>
      <c r="I1" s="1"/>
      <c r="J1" s="1"/>
      <c r="R1" s="1"/>
      <c r="S1" s="1"/>
      <c r="T1" s="1"/>
      <c r="V1" s="1"/>
      <c r="W1" s="1"/>
      <c r="X1" s="1"/>
      <c r="Y1" s="1"/>
      <c r="AA1" s="1"/>
    </row>
    <row ht="30" r="2" spans="1:27" x14ac:dyDescent="0.25">
      <c r="A2" s="1"/>
      <c r="B2" s="27" t="s">
        <v>58</v>
      </c>
      <c r="C2" s="1"/>
      <c r="I2" s="1"/>
      <c r="J2" s="1"/>
      <c r="R2" s="1"/>
      <c r="S2" s="1"/>
      <c r="T2" s="1"/>
      <c r="V2" s="1"/>
      <c r="W2" s="1"/>
      <c r="X2" s="1"/>
      <c r="Y2" s="1"/>
      <c r="AA2" s="1"/>
    </row>
    <row ht="45" r="3" spans="1:27" x14ac:dyDescent="0.25">
      <c r="A3" s="1"/>
      <c r="B3" s="27" t="s">
        <v>63</v>
      </c>
      <c r="C3" s="1"/>
      <c r="I3" s="1"/>
      <c r="J3" s="1"/>
      <c r="R3" s="1"/>
      <c r="S3" s="1"/>
      <c r="T3" s="1"/>
      <c r="V3" s="1"/>
      <c r="W3" s="1"/>
      <c r="X3" s="1"/>
      <c r="Y3" s="1"/>
      <c r="AA3" s="1"/>
    </row>
    <row customHeight="1" ht="17.25" r="4" spans="1:27" x14ac:dyDescent="0.25">
      <c r="A4" s="1"/>
      <c r="B4" s="26" t="s">
        <v>64</v>
      </c>
      <c r="C4" s="1"/>
      <c r="I4" s="1"/>
      <c r="J4" s="1"/>
      <c r="R4" s="1"/>
      <c r="S4" s="1"/>
      <c r="T4" s="1"/>
      <c r="V4" s="1"/>
      <c r="W4" s="1"/>
      <c r="X4" s="1"/>
      <c r="Y4" s="1"/>
      <c r="AA4" s="1"/>
    </row>
    <row ht="165" r="5" spans="1:27" x14ac:dyDescent="0.25">
      <c r="A5" s="1"/>
      <c r="B5" s="26" t="s">
        <v>65</v>
      </c>
      <c r="C5" s="1"/>
      <c r="I5" s="1"/>
      <c r="J5" s="1"/>
      <c r="R5" s="1"/>
      <c r="S5" s="1"/>
      <c r="T5" s="1"/>
      <c r="V5" s="1"/>
      <c r="W5" s="1"/>
      <c r="X5" s="1"/>
      <c r="Y5" s="1"/>
      <c r="AA5" s="1"/>
    </row>
    <row r="6" spans="1:27" x14ac:dyDescent="0.25">
      <c r="A6" s="1"/>
      <c r="B6" s="26"/>
      <c r="C6" s="1"/>
      <c r="I6" s="1"/>
      <c r="J6" s="1"/>
      <c r="R6" s="1"/>
      <c r="S6" s="1"/>
      <c r="T6" s="1"/>
      <c r="V6" s="1"/>
      <c r="W6" s="1"/>
      <c r="X6" s="1"/>
      <c r="Y6" s="1"/>
      <c r="AA6" s="1"/>
    </row>
    <row r="7" spans="1:27" x14ac:dyDescent="0.25">
      <c r="A7" s="1"/>
      <c r="B7" s="26"/>
      <c r="C7" s="1"/>
      <c r="I7" s="1"/>
      <c r="J7" s="1"/>
      <c r="R7" s="1"/>
      <c r="S7" s="1"/>
      <c r="T7" s="1"/>
      <c r="V7" s="1"/>
      <c r="W7" s="1"/>
      <c r="X7" s="1"/>
      <c r="Y7" s="1"/>
      <c r="AA7" s="1"/>
    </row>
    <row r="8" spans="1:27" x14ac:dyDescent="0.25">
      <c r="A8" s="1"/>
      <c r="B8" s="26"/>
      <c r="C8" s="1"/>
      <c r="I8" s="1"/>
      <c r="J8" s="1"/>
      <c r="R8" s="1"/>
      <c r="S8" s="1"/>
      <c r="T8" s="1"/>
      <c r="V8" s="1"/>
      <c r="W8" s="1"/>
      <c r="X8" s="1"/>
      <c r="Y8" s="1"/>
      <c r="AA8" s="1"/>
    </row>
    <row r="9" spans="1:27" x14ac:dyDescent="0.25">
      <c r="A9" s="1"/>
      <c r="B9" s="26"/>
      <c r="C9" s="1"/>
      <c r="I9" s="1"/>
      <c r="J9" s="1"/>
      <c r="R9" s="1"/>
      <c r="S9" s="1"/>
      <c r="T9" s="1"/>
      <c r="V9" s="1"/>
      <c r="W9" s="1"/>
      <c r="X9" s="1"/>
      <c r="Y9" s="1"/>
      <c r="AA9" s="1"/>
    </row>
    <row r="10" spans="1:27" x14ac:dyDescent="0.25">
      <c r="A10" s="1"/>
      <c r="B10" s="26"/>
      <c r="C10" s="1"/>
      <c r="I10" s="1"/>
      <c r="J10" s="1"/>
      <c r="R10" s="1"/>
      <c r="S10" s="1"/>
      <c r="T10" s="1"/>
      <c r="V10" s="1"/>
      <c r="W10" s="1"/>
      <c r="X10" s="1"/>
      <c r="Y10" s="1"/>
      <c r="AA10" s="1"/>
    </row>
    <row r="11" spans="1:27" x14ac:dyDescent="0.25">
      <c r="A11" s="1"/>
      <c r="B11" s="26"/>
      <c r="C11" s="1"/>
      <c r="I11" s="1"/>
      <c r="J11" s="1"/>
      <c r="R11" s="1"/>
      <c r="S11" s="1"/>
      <c r="T11" s="1"/>
      <c r="V11" s="1"/>
      <c r="W11" s="1"/>
      <c r="X11" s="1"/>
      <c r="Y11" s="1"/>
      <c r="AA11" s="1"/>
    </row>
    <row r="12" spans="1:27" x14ac:dyDescent="0.25">
      <c r="A12" s="1"/>
      <c r="B12" s="26"/>
      <c r="C12" s="1"/>
      <c r="I12" s="1"/>
      <c r="J12" s="1"/>
      <c r="R12" s="1"/>
      <c r="S12" s="1"/>
      <c r="T12" s="1"/>
      <c r="V12" s="1"/>
      <c r="W12" s="1"/>
      <c r="X12" s="1"/>
      <c r="Y12" s="1"/>
      <c r="AA12" s="1"/>
    </row>
    <row r="13" spans="1:27" x14ac:dyDescent="0.25">
      <c r="A13" s="1"/>
      <c r="B13" s="26"/>
      <c r="C13" s="1"/>
      <c r="I13" s="1"/>
      <c r="J13" s="1"/>
      <c r="R13" s="1"/>
      <c r="S13" s="1"/>
      <c r="T13" s="1"/>
      <c r="V13" s="1"/>
      <c r="W13" s="1"/>
      <c r="X13" s="1"/>
      <c r="Y13" s="1"/>
      <c r="AA13" s="1"/>
    </row>
    <row r="14" spans="1:27" x14ac:dyDescent="0.25">
      <c r="A14" s="1"/>
      <c r="B14" s="26"/>
      <c r="C14" s="1"/>
      <c r="I14" s="1"/>
      <c r="J14" s="1"/>
      <c r="R14" s="1"/>
      <c r="S14" s="1"/>
      <c r="T14" s="1"/>
      <c r="V14" s="1"/>
      <c r="W14" s="1"/>
      <c r="X14" s="1"/>
      <c r="Y14" s="1"/>
      <c r="AA14" s="1"/>
    </row>
    <row r="15" spans="1:27" x14ac:dyDescent="0.25">
      <c r="A15" s="1"/>
      <c r="B15" s="26"/>
      <c r="C15" s="1"/>
      <c r="I15" s="1"/>
      <c r="J15" s="1"/>
      <c r="R15" s="1"/>
      <c r="S15" s="1"/>
      <c r="T15" s="1"/>
      <c r="V15" s="1"/>
      <c r="W15" s="1"/>
      <c r="X15" s="1"/>
      <c r="Y15" s="1"/>
      <c r="AA15" s="1"/>
    </row>
    <row r="16" spans="1:27" x14ac:dyDescent="0.25">
      <c r="A16" s="1"/>
      <c r="B16" s="26"/>
      <c r="C16" s="1"/>
      <c r="I16" s="1"/>
      <c r="J16" s="1"/>
      <c r="R16" s="1"/>
      <c r="S16" s="1"/>
      <c r="T16" s="1"/>
      <c r="V16" s="1"/>
      <c r="W16" s="1"/>
      <c r="X16" s="1"/>
      <c r="Y16" s="1"/>
      <c r="AA16" s="1"/>
    </row>
    <row r="17" spans="1:27" x14ac:dyDescent="0.25">
      <c r="A17" s="1"/>
      <c r="B17" s="26"/>
      <c r="C17" s="1"/>
      <c r="I17" s="1"/>
      <c r="J17" s="1"/>
      <c r="R17" s="1"/>
      <c r="S17" s="1"/>
      <c r="T17" s="1"/>
      <c r="V17" s="1"/>
      <c r="W17" s="1"/>
      <c r="X17" s="1"/>
      <c r="Y17" s="1"/>
      <c r="AA17" s="1"/>
    </row>
    <row r="18" spans="1:27" x14ac:dyDescent="0.25">
      <c r="A18" s="1"/>
      <c r="B18" s="26"/>
      <c r="C18" s="1"/>
      <c r="I18" s="1"/>
      <c r="J18" s="1"/>
      <c r="R18" s="1"/>
      <c r="S18" s="1"/>
      <c r="T18" s="1"/>
      <c r="V18" s="1"/>
      <c r="W18" s="1"/>
      <c r="X18" s="1"/>
      <c r="Y18" s="1"/>
      <c r="AA18" s="1"/>
    </row>
    <row r="19" spans="1:27" x14ac:dyDescent="0.25">
      <c r="A19" s="1"/>
      <c r="B19" s="26"/>
      <c r="C19" s="1"/>
      <c r="I19" s="1"/>
      <c r="J19" s="1"/>
      <c r="R19" s="1"/>
      <c r="S19" s="1"/>
      <c r="T19" s="1"/>
      <c r="V19" s="1"/>
      <c r="W19" s="1"/>
      <c r="X19" s="1"/>
      <c r="Y19" s="1"/>
      <c r="AA19" s="1"/>
    </row>
    <row r="20" spans="1:27" x14ac:dyDescent="0.25">
      <c r="A20" s="1"/>
      <c r="B20" s="26"/>
      <c r="C20" s="1"/>
      <c r="I20" s="1"/>
      <c r="J20" s="1"/>
      <c r="R20" s="1"/>
      <c r="S20" s="1"/>
      <c r="T20" s="1"/>
      <c r="V20" s="1"/>
      <c r="W20" s="1"/>
      <c r="X20" s="1"/>
      <c r="Y20" s="1"/>
      <c r="AA20" s="1"/>
    </row>
    <row r="21" spans="1:27" x14ac:dyDescent="0.25">
      <c r="A21" s="1"/>
      <c r="B21" s="26"/>
      <c r="C21" s="1"/>
      <c r="I21" s="1"/>
      <c r="J21" s="1"/>
      <c r="R21" s="1"/>
      <c r="S21" s="1"/>
      <c r="T21" s="1"/>
      <c r="V21" s="1"/>
      <c r="W21" s="1"/>
      <c r="X21" s="1"/>
      <c r="Y21" s="1"/>
      <c r="AA21" s="1"/>
    </row>
    <row r="22" spans="1:27" x14ac:dyDescent="0.25">
      <c r="A22" s="1"/>
      <c r="B22" s="26"/>
      <c r="C22" s="1"/>
      <c r="I22" s="1"/>
      <c r="J22" s="1"/>
      <c r="R22" s="1"/>
      <c r="S22" s="1"/>
      <c r="T22" s="1"/>
      <c r="V22" s="1"/>
      <c r="W22" s="1"/>
      <c r="X22" s="1"/>
      <c r="Y22" s="1"/>
      <c r="AA22" s="1"/>
    </row>
    <row r="23" spans="1:27" x14ac:dyDescent="0.25">
      <c r="A23" s="1"/>
      <c r="B23" s="26"/>
      <c r="C23" s="1"/>
      <c r="I23" s="1"/>
      <c r="J23" s="1"/>
      <c r="R23" s="1"/>
      <c r="S23" s="1"/>
      <c r="T23" s="1"/>
      <c r="V23" s="1"/>
      <c r="W23" s="1"/>
      <c r="X23" s="1"/>
      <c r="Y23" s="1"/>
      <c r="AA23" s="1"/>
    </row>
    <row r="24" spans="1:27" x14ac:dyDescent="0.25">
      <c r="A24" s="1"/>
      <c r="B24" s="26"/>
      <c r="C24" s="1"/>
      <c r="I24" s="1"/>
      <c r="J24" s="1"/>
      <c r="R24" s="1"/>
      <c r="S24" s="1"/>
      <c r="T24" s="1"/>
      <c r="V24" s="1"/>
      <c r="W24" s="1"/>
      <c r="X24" s="1"/>
      <c r="Y24" s="1"/>
      <c r="AA24" s="1"/>
    </row>
    <row r="25" spans="1:27" x14ac:dyDescent="0.25">
      <c r="A25" s="1"/>
      <c r="B25" s="26"/>
      <c r="C25" s="1"/>
      <c r="I25" s="1"/>
      <c r="J25" s="1"/>
      <c r="R25" s="1"/>
      <c r="S25" s="1"/>
      <c r="T25" s="1"/>
      <c r="V25" s="1"/>
      <c r="W25" s="1"/>
      <c r="X25" s="1"/>
      <c r="Y25" s="1"/>
      <c r="AA25" s="1"/>
    </row>
    <row r="26" spans="1:27" x14ac:dyDescent="0.25">
      <c r="A26" s="1"/>
      <c r="B26" s="26"/>
      <c r="C26" s="1"/>
      <c r="I26" s="1"/>
      <c r="J26" s="1"/>
      <c r="R26" s="1"/>
      <c r="S26" s="1"/>
      <c r="T26" s="1"/>
      <c r="V26" s="1"/>
      <c r="W26" s="1"/>
      <c r="X26" s="1"/>
      <c r="Y26" s="1"/>
      <c r="AA26" s="1"/>
    </row>
    <row r="27" spans="1:27" x14ac:dyDescent="0.25">
      <c r="A27" s="1"/>
      <c r="B27" s="26"/>
      <c r="C27" s="1"/>
      <c r="I27" s="1"/>
      <c r="J27" s="1"/>
      <c r="R27" s="1"/>
      <c r="S27" s="1"/>
      <c r="T27" s="1"/>
      <c r="V27" s="1"/>
      <c r="W27" s="1"/>
      <c r="X27" s="1"/>
      <c r="Y27" s="1"/>
      <c r="AA27" s="1"/>
    </row>
    <row r="28" spans="1:27" x14ac:dyDescent="0.25">
      <c r="A28" s="1"/>
      <c r="B28" s="26"/>
      <c r="C28" s="1"/>
      <c r="I28" s="1"/>
      <c r="J28" s="1"/>
      <c r="R28" s="1"/>
      <c r="S28" s="1"/>
      <c r="T28" s="1"/>
      <c r="V28" s="1"/>
      <c r="W28" s="1"/>
      <c r="X28" s="1"/>
      <c r="Y28" s="1"/>
      <c r="AA28" s="1"/>
    </row>
    <row r="29" spans="1:27" x14ac:dyDescent="0.25">
      <c r="A29" s="1"/>
      <c r="B29" s="26"/>
      <c r="C29" s="1"/>
      <c r="I29" s="1"/>
      <c r="J29" s="1"/>
      <c r="R29" s="1"/>
      <c r="S29" s="1"/>
      <c r="T29" s="1"/>
      <c r="V29" s="1"/>
      <c r="W29" s="1"/>
      <c r="X29" s="1"/>
      <c r="Y29" s="1"/>
      <c r="AA29" s="1"/>
    </row>
    <row r="30" spans="1:27" x14ac:dyDescent="0.25">
      <c r="A30" s="1"/>
      <c r="B30" s="26"/>
      <c r="C30" s="1"/>
      <c r="I30" s="1"/>
      <c r="J30" s="1"/>
      <c r="R30" s="1"/>
      <c r="S30" s="1"/>
      <c r="T30" s="1"/>
      <c r="V30" s="1"/>
      <c r="W30" s="1"/>
      <c r="X30" s="1"/>
      <c r="Y30" s="1"/>
      <c r="AA30" s="1"/>
    </row>
    <row r="31" spans="1:27" x14ac:dyDescent="0.25">
      <c r="A31" s="1"/>
      <c r="B31" s="26"/>
      <c r="C31" s="1"/>
      <c r="I31" s="1"/>
      <c r="J31" s="1"/>
      <c r="R31" s="1"/>
      <c r="S31" s="1"/>
      <c r="T31" s="1"/>
      <c r="V31" s="1"/>
      <c r="W31" s="1"/>
      <c r="X31" s="1"/>
      <c r="Y31" s="1"/>
      <c r="AA31" s="1"/>
    </row>
    <row r="32" spans="1:27" x14ac:dyDescent="0.25">
      <c r="A32" s="1"/>
      <c r="B32" s="26"/>
      <c r="C32" s="1"/>
      <c r="I32" s="1"/>
      <c r="J32" s="1"/>
      <c r="R32" s="1"/>
      <c r="S32" s="1"/>
      <c r="T32" s="1"/>
      <c r="V32" s="1"/>
      <c r="W32" s="1"/>
      <c r="X32" s="1"/>
      <c r="Y32" s="1"/>
      <c r="AA32" s="1"/>
    </row>
    <row r="33" spans="1:27" x14ac:dyDescent="0.25">
      <c r="A33" s="1"/>
      <c r="B33" s="26"/>
      <c r="C33" s="1"/>
      <c r="I33" s="1"/>
      <c r="J33" s="1"/>
      <c r="R33" s="1"/>
      <c r="S33" s="1"/>
      <c r="T33" s="1"/>
      <c r="V33" s="1"/>
      <c r="W33" s="1"/>
      <c r="X33" s="1"/>
      <c r="Y33" s="1"/>
      <c r="AA33" s="1"/>
    </row>
    <row r="34" spans="1:27" x14ac:dyDescent="0.25">
      <c r="A34" s="1"/>
      <c r="B34" s="26"/>
      <c r="C34" s="1"/>
      <c r="I34" s="1"/>
      <c r="J34" s="1"/>
      <c r="R34" s="1"/>
      <c r="S34" s="1"/>
      <c r="T34" s="1"/>
      <c r="V34" s="1"/>
      <c r="W34" s="1"/>
      <c r="X34" s="1"/>
      <c r="Y34" s="1"/>
      <c r="AA34" s="1"/>
    </row>
    <row r="35" spans="1:27" x14ac:dyDescent="0.25">
      <c r="A35" s="1"/>
      <c r="B35" s="26"/>
      <c r="C35" s="1"/>
      <c r="I35" s="1"/>
      <c r="J35" s="1"/>
      <c r="R35" s="1"/>
      <c r="S35" s="1"/>
      <c r="T35" s="1"/>
      <c r="V35" s="1"/>
      <c r="W35" s="1"/>
      <c r="X35" s="1"/>
      <c r="Y35" s="1"/>
      <c r="AA35" s="1"/>
    </row>
    <row r="36" spans="1:27" x14ac:dyDescent="0.25">
      <c r="A36" s="1"/>
      <c r="B36" s="26"/>
      <c r="C36" s="1"/>
      <c r="I36" s="1"/>
      <c r="J36" s="1"/>
      <c r="R36" s="1"/>
      <c r="S36" s="1"/>
      <c r="T36" s="1"/>
      <c r="V36" s="1"/>
      <c r="W36" s="1"/>
      <c r="X36" s="1"/>
      <c r="Y36" s="1"/>
      <c r="AA36" s="1"/>
    </row>
    <row r="37" spans="1:27" x14ac:dyDescent="0.25">
      <c r="A37" s="1"/>
      <c r="B37" s="26"/>
      <c r="C37" s="1"/>
      <c r="I37" s="1"/>
      <c r="J37" s="1"/>
      <c r="R37" s="1"/>
      <c r="S37" s="1"/>
      <c r="T37" s="1"/>
      <c r="V37" s="1"/>
      <c r="W37" s="1"/>
      <c r="X37" s="1"/>
      <c r="Y37" s="1"/>
      <c r="AA37" s="1"/>
    </row>
    <row r="38" spans="1:27" x14ac:dyDescent="0.25">
      <c r="A38" s="1"/>
      <c r="B38" s="26"/>
      <c r="C38" s="1"/>
      <c r="I38" s="1"/>
      <c r="J38" s="1"/>
      <c r="R38" s="1"/>
      <c r="S38" s="1"/>
      <c r="T38" s="1"/>
      <c r="V38" s="1"/>
      <c r="W38" s="1"/>
      <c r="X38" s="1"/>
      <c r="Y38" s="1"/>
      <c r="AA38" s="1"/>
    </row>
    <row r="39" spans="1:27" x14ac:dyDescent="0.25">
      <c r="A39" s="1"/>
      <c r="B39" s="26"/>
      <c r="C39" s="1"/>
      <c r="I39" s="1"/>
      <c r="J39" s="1"/>
      <c r="R39" s="1"/>
      <c r="S39" s="1"/>
      <c r="T39" s="1"/>
      <c r="V39" s="1"/>
      <c r="W39" s="1"/>
      <c r="X39" s="1"/>
      <c r="Y39" s="1"/>
      <c r="AA39" s="1"/>
    </row>
    <row r="40" spans="1:27" x14ac:dyDescent="0.25">
      <c r="A40" s="1"/>
      <c r="B40" s="26"/>
      <c r="C40" s="1"/>
      <c r="I40" s="1"/>
      <c r="J40" s="1"/>
      <c r="R40" s="1"/>
      <c r="S40" s="1"/>
      <c r="T40" s="1"/>
      <c r="V40" s="1"/>
      <c r="W40" s="1"/>
      <c r="X40" s="1"/>
      <c r="Y40" s="1"/>
      <c r="AA40" s="1"/>
    </row>
    <row r="41" spans="1:27" x14ac:dyDescent="0.25">
      <c r="A41" s="1"/>
      <c r="B41" s="26"/>
      <c r="C41" s="1"/>
      <c r="I41" s="1"/>
      <c r="J41" s="1"/>
      <c r="R41" s="1"/>
      <c r="S41" s="1"/>
      <c r="T41" s="1"/>
      <c r="V41" s="1"/>
      <c r="W41" s="1"/>
      <c r="X41" s="1"/>
      <c r="Y41" s="1"/>
      <c r="AA41" s="1"/>
    </row>
    <row r="42" spans="1:27" x14ac:dyDescent="0.25">
      <c r="A42" s="1"/>
      <c r="B42" s="26"/>
      <c r="C42" s="1"/>
      <c r="I42" s="1"/>
      <c r="J42" s="1"/>
      <c r="R42" s="1"/>
      <c r="S42" s="1"/>
      <c r="T42" s="1"/>
      <c r="V42" s="1"/>
      <c r="W42" s="1"/>
      <c r="X42" s="1"/>
      <c r="Y42" s="1"/>
      <c r="AA42" s="1"/>
    </row>
    <row r="43" spans="1:27" x14ac:dyDescent="0.25">
      <c r="A43" s="1"/>
      <c r="B43" s="26"/>
      <c r="C43" s="1"/>
      <c r="I43" s="1"/>
      <c r="J43" s="1"/>
      <c r="R43" s="1"/>
      <c r="S43" s="1"/>
      <c r="T43" s="1"/>
      <c r="V43" s="1"/>
      <c r="W43" s="1"/>
      <c r="X43" s="1"/>
      <c r="Y43" s="1"/>
      <c r="AA43" s="1"/>
    </row>
    <row r="44" spans="1:27" x14ac:dyDescent="0.25">
      <c r="A44" s="1"/>
      <c r="B44" s="26"/>
      <c r="C44" s="1"/>
      <c r="I44" s="1"/>
      <c r="J44" s="1"/>
      <c r="R44" s="1"/>
      <c r="S44" s="1"/>
      <c r="T44" s="1"/>
      <c r="V44" s="1"/>
      <c r="W44" s="1"/>
      <c r="X44" s="1"/>
      <c r="Y44" s="1"/>
      <c r="AA44" s="1"/>
    </row>
    <row r="45" spans="1:27" x14ac:dyDescent="0.25">
      <c r="A45" s="1"/>
      <c r="B45" s="26"/>
      <c r="C45" s="1"/>
      <c r="I45" s="1"/>
      <c r="J45" s="1"/>
      <c r="R45" s="1"/>
      <c r="S45" s="1"/>
      <c r="T45" s="1"/>
      <c r="V45" s="1"/>
      <c r="W45" s="1"/>
      <c r="X45" s="1"/>
      <c r="Y45" s="1"/>
      <c r="AA45" s="1"/>
    </row>
    <row r="46" spans="1:27" x14ac:dyDescent="0.25">
      <c r="A46" s="1"/>
      <c r="B46" s="26"/>
      <c r="C46" s="1"/>
      <c r="I46" s="1"/>
      <c r="J46" s="1"/>
      <c r="R46" s="1"/>
      <c r="S46" s="1"/>
      <c r="T46" s="1"/>
      <c r="V46" s="1"/>
      <c r="W46" s="1"/>
      <c r="X46" s="1"/>
      <c r="Y46" s="1"/>
      <c r="AA46" s="1"/>
    </row>
    <row r="47" spans="1:27" x14ac:dyDescent="0.25">
      <c r="A47" s="1"/>
      <c r="B47" s="26"/>
      <c r="C47" s="1"/>
      <c r="I47" s="1"/>
      <c r="J47" s="1"/>
      <c r="R47" s="1"/>
      <c r="S47" s="1"/>
      <c r="T47" s="1"/>
      <c r="V47" s="1"/>
      <c r="W47" s="1"/>
      <c r="X47" s="1"/>
      <c r="Y47" s="1"/>
      <c r="AA47" s="1"/>
    </row>
    <row r="48" spans="1:27" x14ac:dyDescent="0.25">
      <c r="A48" s="1"/>
      <c r="B48" s="26"/>
      <c r="C48" s="1"/>
      <c r="I48" s="1"/>
      <c r="J48" s="1"/>
      <c r="R48" s="1"/>
      <c r="S48" s="1"/>
      <c r="T48" s="1"/>
      <c r="V48" s="1"/>
      <c r="W48" s="1"/>
      <c r="X48" s="1"/>
      <c r="Y48" s="1"/>
      <c r="AA48" s="1"/>
    </row>
    <row r="49" spans="1:27" x14ac:dyDescent="0.25">
      <c r="A49" s="1"/>
      <c r="B49" s="26"/>
      <c r="C49" s="1"/>
      <c r="I49" s="1"/>
      <c r="J49" s="1"/>
      <c r="R49" s="1"/>
      <c r="S49" s="1"/>
      <c r="T49" s="1"/>
      <c r="V49" s="1"/>
      <c r="W49" s="1"/>
      <c r="X49" s="1"/>
      <c r="Y49" s="1"/>
      <c r="AA49" s="1"/>
    </row>
    <row r="50" spans="1:27" x14ac:dyDescent="0.25">
      <c r="A50" s="1"/>
      <c r="B50" s="26"/>
      <c r="C50" s="1"/>
      <c r="I50" s="1"/>
      <c r="J50" s="1"/>
      <c r="R50" s="1"/>
      <c r="S50" s="1"/>
      <c r="T50" s="1"/>
      <c r="V50" s="1"/>
      <c r="W50" s="1"/>
      <c r="X50" s="1"/>
      <c r="Y50" s="1"/>
      <c r="AA50" s="1"/>
    </row>
    <row r="51" spans="1:27" x14ac:dyDescent="0.25">
      <c r="A51" s="1"/>
      <c r="B51" s="26"/>
      <c r="C51" s="1"/>
      <c r="I51" s="1"/>
      <c r="J51" s="1"/>
      <c r="R51" s="1"/>
      <c r="S51" s="1"/>
      <c r="T51" s="1"/>
      <c r="V51" s="1"/>
      <c r="W51" s="1"/>
      <c r="X51" s="1"/>
      <c r="Y51" s="1"/>
      <c r="AA51" s="1"/>
    </row>
    <row r="52" spans="1:27" x14ac:dyDescent="0.25">
      <c r="A52" s="1"/>
      <c r="B52" s="26"/>
      <c r="C52" s="1"/>
      <c r="I52" s="1"/>
      <c r="J52" s="1"/>
      <c r="R52" s="1"/>
      <c r="S52" s="1"/>
      <c r="T52" s="1"/>
      <c r="V52" s="1"/>
      <c r="W52" s="1"/>
      <c r="X52" s="1"/>
      <c r="Y52" s="1"/>
      <c r="AA52" s="1"/>
    </row>
    <row r="53" spans="1:27" x14ac:dyDescent="0.25">
      <c r="A53" s="1"/>
      <c r="B53" s="26"/>
      <c r="C53" s="1"/>
      <c r="I53" s="1"/>
      <c r="J53" s="1"/>
      <c r="R53" s="1"/>
      <c r="S53" s="1"/>
      <c r="T53" s="1"/>
      <c r="V53" s="1"/>
      <c r="W53" s="1"/>
      <c r="X53" s="1"/>
      <c r="Y53" s="1"/>
      <c r="AA53" s="1"/>
    </row>
    <row r="54" spans="1:27" x14ac:dyDescent="0.25">
      <c r="A54" s="1"/>
      <c r="B54" s="26"/>
      <c r="C54" s="1"/>
      <c r="I54" s="1"/>
      <c r="J54" s="1"/>
      <c r="R54" s="1"/>
      <c r="S54" s="1"/>
      <c r="T54" s="1"/>
      <c r="V54" s="1"/>
      <c r="W54" s="1"/>
      <c r="X54" s="1"/>
      <c r="Y54" s="1"/>
      <c r="AA54" s="1"/>
    </row>
    <row r="55" spans="1:27" x14ac:dyDescent="0.25">
      <c r="A55" s="1"/>
      <c r="B55" s="26"/>
      <c r="C55" s="1"/>
      <c r="I55" s="1"/>
      <c r="J55" s="1"/>
      <c r="R55" s="1"/>
      <c r="S55" s="1"/>
      <c r="T55" s="1"/>
      <c r="V55" s="1"/>
      <c r="W55" s="1"/>
      <c r="X55" s="1"/>
      <c r="Y55" s="1"/>
      <c r="AA55" s="1"/>
    </row>
    <row r="56" spans="1:27" x14ac:dyDescent="0.25">
      <c r="A56" s="1"/>
      <c r="B56" s="26"/>
      <c r="C56" s="1"/>
      <c r="I56" s="1"/>
      <c r="J56" s="1"/>
      <c r="R56" s="1"/>
      <c r="S56" s="1"/>
      <c r="T56" s="1"/>
      <c r="V56" s="1"/>
      <c r="W56" s="1"/>
      <c r="X56" s="1"/>
      <c r="Y56" s="1"/>
      <c r="AA56" s="1"/>
    </row>
    <row r="57" spans="1:27" x14ac:dyDescent="0.25">
      <c r="A57" s="1"/>
      <c r="B57" s="26"/>
      <c r="C57" s="1"/>
      <c r="I57" s="1"/>
      <c r="J57" s="1"/>
      <c r="R57" s="1"/>
      <c r="S57" s="1"/>
      <c r="T57" s="1"/>
      <c r="V57" s="1"/>
      <c r="W57" s="1"/>
      <c r="X57" s="1"/>
      <c r="Y57" s="1"/>
      <c r="AA57" s="1"/>
    </row>
    <row r="58" spans="1:27" x14ac:dyDescent="0.25">
      <c r="A58" s="1"/>
      <c r="B58" s="26"/>
      <c r="C58" s="1"/>
      <c r="I58" s="1"/>
      <c r="J58" s="1"/>
      <c r="R58" s="1"/>
      <c r="S58" s="1"/>
      <c r="T58" s="1"/>
      <c r="V58" s="1"/>
      <c r="W58" s="1"/>
      <c r="X58" s="1"/>
      <c r="Y58" s="1"/>
      <c r="AA58" s="1"/>
    </row>
    <row r="59" spans="1:27" x14ac:dyDescent="0.25">
      <c r="A59" s="1"/>
      <c r="B59" s="26"/>
      <c r="C59" s="1"/>
      <c r="I59" s="1"/>
      <c r="J59" s="1"/>
      <c r="R59" s="1"/>
      <c r="S59" s="1"/>
      <c r="T59" s="1"/>
      <c r="V59" s="1"/>
      <c r="W59" s="1"/>
      <c r="X59" s="1"/>
      <c r="Y59" s="1"/>
      <c r="AA59" s="1"/>
    </row>
    <row r="60" spans="1:27" x14ac:dyDescent="0.25">
      <c r="A60" s="1"/>
      <c r="B60" s="26"/>
      <c r="C60" s="1"/>
      <c r="I60" s="1"/>
      <c r="J60" s="1"/>
      <c r="R60" s="1"/>
      <c r="S60" s="1"/>
      <c r="T60" s="1"/>
      <c r="V60" s="1"/>
      <c r="W60" s="1"/>
      <c r="X60" s="1"/>
      <c r="Y60" s="1"/>
      <c r="AA60" s="1"/>
    </row>
    <row r="61" spans="1:27" x14ac:dyDescent="0.25">
      <c r="A61" s="1"/>
      <c r="B61" s="26"/>
      <c r="C61" s="1"/>
      <c r="I61" s="1"/>
      <c r="J61" s="1"/>
      <c r="R61" s="1"/>
      <c r="S61" s="1"/>
      <c r="T61" s="1"/>
      <c r="V61" s="1"/>
      <c r="W61" s="1"/>
      <c r="X61" s="1"/>
      <c r="Y61" s="1"/>
      <c r="AA61" s="1"/>
    </row>
    <row r="62" spans="1:27" x14ac:dyDescent="0.25">
      <c r="A62" s="1"/>
      <c r="B62" s="26"/>
      <c r="C62" s="1"/>
      <c r="I62" s="1"/>
      <c r="J62" s="1"/>
      <c r="R62" s="1"/>
      <c r="S62" s="1"/>
      <c r="T62" s="1"/>
      <c r="V62" s="1"/>
      <c r="W62" s="1"/>
      <c r="X62" s="1"/>
      <c r="Y62" s="1"/>
      <c r="AA62" s="1"/>
    </row>
    <row r="63" spans="1:27" x14ac:dyDescent="0.25">
      <c r="A63" s="1"/>
      <c r="B63" s="26"/>
      <c r="C63" s="1"/>
      <c r="I63" s="1"/>
      <c r="J63" s="1"/>
      <c r="R63" s="1"/>
      <c r="S63" s="1"/>
      <c r="T63" s="1"/>
      <c r="V63" s="1"/>
      <c r="W63" s="1"/>
      <c r="X63" s="1"/>
      <c r="Y63" s="1"/>
      <c r="AA63" s="1"/>
    </row>
    <row r="64" spans="1:27" x14ac:dyDescent="0.25">
      <c r="A64" s="1"/>
      <c r="B64" s="26"/>
      <c r="C64" s="1"/>
      <c r="I64" s="1"/>
      <c r="J64" s="1"/>
      <c r="R64" s="1"/>
      <c r="S64" s="1"/>
      <c r="T64" s="1"/>
      <c r="V64" s="1"/>
      <c r="W64" s="1"/>
      <c r="X64" s="1"/>
      <c r="Y64" s="1"/>
      <c r="AA64" s="1"/>
    </row>
    <row r="65" spans="1:27" x14ac:dyDescent="0.25">
      <c r="A65" s="1"/>
      <c r="B65" s="26"/>
      <c r="C65" s="1"/>
      <c r="I65" s="1"/>
      <c r="J65" s="1"/>
      <c r="R65" s="1"/>
      <c r="S65" s="1"/>
      <c r="T65" s="1"/>
      <c r="V65" s="1"/>
      <c r="W65" s="1"/>
      <c r="X65" s="1"/>
      <c r="Y65" s="1"/>
      <c r="AA65" s="1"/>
    </row>
    <row r="66" spans="1:27" x14ac:dyDescent="0.25">
      <c r="A66" s="1"/>
      <c r="B66" s="26"/>
      <c r="C66" s="1"/>
      <c r="I66" s="1"/>
      <c r="J66" s="1"/>
      <c r="R66" s="1"/>
      <c r="S66" s="1"/>
      <c r="T66" s="1"/>
      <c r="V66" s="1"/>
      <c r="W66" s="1"/>
      <c r="X66" s="1"/>
      <c r="Y66" s="1"/>
      <c r="AA66" s="1"/>
    </row>
    <row r="67" spans="1:27" x14ac:dyDescent="0.25">
      <c r="A67" s="1"/>
      <c r="B67" s="26"/>
      <c r="C67" s="1"/>
      <c r="I67" s="1"/>
      <c r="J67" s="1"/>
      <c r="R67" s="1"/>
      <c r="S67" s="1"/>
      <c r="T67" s="1"/>
      <c r="V67" s="1"/>
      <c r="W67" s="1"/>
      <c r="X67" s="1"/>
      <c r="Y67" s="1"/>
      <c r="AA67" s="1"/>
    </row>
  </sheetData>
  <pageMargins bottom="0.75" footer="0.3" header="0.3" left="0.7" right="0.7" top="0.75"/>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BV79"/>
  <sheetViews>
    <sheetView topLeftCell="A7" workbookViewId="0">
      <selection activeCell="K15" sqref="K15"/>
    </sheetView>
  </sheetViews>
  <sheetFormatPr defaultRowHeight="15" x14ac:dyDescent="0.25"/>
  <cols>
    <col min="2" max="2" customWidth="true" style="2" width="41.42578125" collapsed="true"/>
    <col min="3" max="3" customWidth="true" style="3" width="16.28515625" collapsed="true"/>
    <col min="4" max="4" customWidth="true" style="2" width="27.140625" collapsed="true"/>
    <col min="5" max="5" customWidth="true" style="3" width="12.85546875" collapsed="true"/>
    <col min="6" max="6" customWidth="true" style="3" width="16.85546875" collapsed="true"/>
    <col min="7" max="8" customWidth="true" style="3" width="14.140625" collapsed="true"/>
    <col min="9" max="9" customWidth="true" width="14.140625" collapsed="true"/>
    <col min="10" max="10" bestFit="true" customWidth="true" width="9.7109375" collapsed="true"/>
    <col min="11" max="13" customWidth="true" width="19.0" collapsed="true"/>
    <col min="14" max="14" customWidth="true" style="3" width="20.7109375" collapsed="true"/>
    <col min="15" max="15" customWidth="true" style="3" width="28.85546875" collapsed="true"/>
    <col min="16" max="16" bestFit="true" customWidth="true" style="3" width="23.5703125" collapsed="true"/>
    <col min="17" max="17" customWidth="true" style="3" width="24.28515625" collapsed="true"/>
    <col min="18" max="19" customWidth="true" style="3" width="26.0" collapsed="true"/>
    <col min="20" max="20" customWidth="true" style="3" width="20.7109375" collapsed="true"/>
    <col min="21" max="21" customWidth="true" style="3" width="20.42578125" collapsed="true"/>
    <col min="22" max="23" customWidth="true" style="3" width="19.42578125" collapsed="true"/>
    <col min="24" max="24" customWidth="true" style="3" width="18.28515625" collapsed="true"/>
    <col min="25" max="25" customWidth="true" style="3" width="17.28515625" collapsed="true"/>
    <col min="26" max="26" customWidth="true" style="3" width="20.28515625" collapsed="true"/>
    <col min="27" max="27" bestFit="true" customWidth="true" style="3" width="15.85546875" collapsed="true"/>
    <col min="28" max="28" bestFit="true" customWidth="true" style="3" width="9.85546875" collapsed="true"/>
    <col min="29" max="29" bestFit="true" customWidth="true" style="3" width="17.85546875" collapsed="true"/>
    <col min="30" max="30" bestFit="true" customWidth="true" style="3" width="33.85546875" collapsed="true"/>
    <col min="31" max="31" customWidth="true" style="3" width="17.85546875" collapsed="true"/>
    <col min="32" max="32" customWidth="true" style="3" width="14.7109375" collapsed="true"/>
    <col min="33" max="33" customWidth="true" width="9.140625" collapsed="true"/>
    <col min="34" max="34" bestFit="true" customWidth="true" width="18.7109375" collapsed="true"/>
    <col min="35" max="35" bestFit="true" customWidth="true" width="33.85546875" collapsed="true"/>
    <col min="36" max="36" bestFit="true" customWidth="true" width="17.7109375" collapsed="true"/>
    <col min="37" max="38" customWidth="true" width="9.140625" collapsed="true"/>
    <col min="39" max="64" customWidth="true" hidden="true" width="9.140625" collapsed="true"/>
    <col min="65" max="65" customWidth="true" width="11.140625" collapsed="true"/>
    <col min="66" max="66" customWidth="true" width="12.28515625" collapsed="true"/>
    <col min="67" max="67" customWidth="true" width="12.42578125" collapsed="true"/>
    <col min="69" max="69" customWidth="true" width="11.85546875" collapsed="true"/>
    <col min="70" max="70" customWidth="true" width="13.7109375" collapsed="true"/>
    <col min="73" max="73" bestFit="true" customWidth="true" width="9.7109375" collapsed="true"/>
  </cols>
  <sheetData>
    <row r="1" spans="1:73" x14ac:dyDescent="0.25">
      <c r="B1" s="62" t="s">
        <v>10</v>
      </c>
      <c r="C1" s="62"/>
      <c r="D1" s="62"/>
      <c r="E1" s="62"/>
      <c r="F1" s="63"/>
      <c r="G1" s="7"/>
      <c r="H1" s="7"/>
      <c r="K1" s="8" t="s">
        <v>14</v>
      </c>
      <c r="L1" s="10" t="s">
        <v>12</v>
      </c>
      <c r="M1" s="13" t="s">
        <v>94</v>
      </c>
      <c r="N1" s="13" t="s">
        <v>157</v>
      </c>
      <c r="O1" s="13" t="s">
        <v>158</v>
      </c>
      <c r="P1" s="13" t="s">
        <v>96</v>
      </c>
      <c r="Q1" s="13" t="s">
        <v>103</v>
      </c>
      <c r="R1" s="13" t="s">
        <v>104</v>
      </c>
      <c r="S1" s="13" t="s">
        <v>105</v>
      </c>
      <c r="T1" s="13" t="s">
        <v>106</v>
      </c>
      <c r="U1" s="13" t="s">
        <v>107</v>
      </c>
      <c r="V1" s="12" t="s">
        <v>110</v>
      </c>
      <c r="W1" s="12" t="s">
        <v>111</v>
      </c>
      <c r="X1" s="13" t="s">
        <v>113</v>
      </c>
      <c r="Y1" s="13" t="s">
        <v>114</v>
      </c>
      <c r="Z1" s="13" t="s">
        <v>115</v>
      </c>
      <c r="AA1" s="12" t="s">
        <v>116</v>
      </c>
      <c r="AB1" s="12" t="s">
        <v>117</v>
      </c>
      <c r="AC1" s="12" t="s">
        <v>122</v>
      </c>
      <c r="AD1" s="13" t="s">
        <v>135</v>
      </c>
      <c r="AE1" s="13" t="s">
        <v>136</v>
      </c>
      <c r="AF1" s="12" t="s">
        <v>145</v>
      </c>
      <c r="AG1" s="12" t="s">
        <v>146</v>
      </c>
      <c r="AH1" s="12" t="s">
        <v>148</v>
      </c>
      <c r="AI1" s="13" t="s">
        <v>149</v>
      </c>
      <c r="AJ1" s="12" t="s">
        <v>150</v>
      </c>
      <c r="AK1" s="12" t="s">
        <v>151</v>
      </c>
      <c r="AL1" s="13"/>
      <c r="AM1" s="13"/>
      <c r="AN1" s="13"/>
      <c r="AO1" s="13"/>
      <c r="AP1" s="13"/>
      <c r="AQ1" s="13"/>
      <c r="AR1" s="13"/>
      <c r="AS1" s="13"/>
      <c r="AT1" s="13"/>
      <c r="AU1" s="13"/>
      <c r="AV1" s="13"/>
      <c r="AW1" s="13"/>
      <c r="AX1" s="13"/>
      <c r="AY1" s="13"/>
      <c r="AZ1" s="13"/>
      <c r="BM1" s="7" t="s">
        <v>17</v>
      </c>
      <c r="BN1" s="7" t="s">
        <v>23</v>
      </c>
      <c r="BO1" s="7" t="s">
        <v>26</v>
      </c>
      <c r="BQ1" s="28" t="s">
        <v>17</v>
      </c>
      <c r="BR1" s="28" t="s">
        <v>23</v>
      </c>
      <c r="BS1" s="28" t="s">
        <v>26</v>
      </c>
    </row>
    <row r="2" spans="1:73" x14ac:dyDescent="0.25">
      <c r="A2" s="7" t="s">
        <v>9</v>
      </c>
      <c r="B2" s="9" t="s">
        <v>4</v>
      </c>
      <c r="C2" s="7" t="s">
        <v>3</v>
      </c>
      <c r="D2" s="9" t="s">
        <v>7</v>
      </c>
      <c r="E2" s="7" t="s">
        <v>5</v>
      </c>
      <c r="F2" s="7" t="s">
        <v>6</v>
      </c>
      <c r="G2" s="7" t="s">
        <v>13</v>
      </c>
      <c r="H2" s="7" t="s">
        <v>27</v>
      </c>
      <c r="K2" s="8" t="s">
        <v>15</v>
      </c>
      <c r="L2" s="10" t="s">
        <v>19</v>
      </c>
      <c r="M2" s="13">
        <v>2</v>
      </c>
      <c r="N2" s="13">
        <v>5</v>
      </c>
      <c r="O2" s="13">
        <v>6</v>
      </c>
      <c r="P2" s="13">
        <v>7</v>
      </c>
      <c r="Q2" s="13">
        <v>11</v>
      </c>
      <c r="R2" s="13">
        <v>12</v>
      </c>
      <c r="S2" s="13">
        <v>13</v>
      </c>
      <c r="T2" s="13">
        <v>14</v>
      </c>
      <c r="U2" s="13">
        <v>15</v>
      </c>
      <c r="V2" s="13">
        <v>16</v>
      </c>
      <c r="W2" s="13">
        <v>17</v>
      </c>
      <c r="X2" s="13">
        <v>18</v>
      </c>
      <c r="Y2" s="13">
        <v>19</v>
      </c>
      <c r="Z2" s="13">
        <v>20</v>
      </c>
      <c r="AA2" s="13">
        <v>21</v>
      </c>
      <c r="AB2" s="13">
        <v>22</v>
      </c>
      <c r="AC2" s="13">
        <v>29</v>
      </c>
      <c r="AD2" s="13">
        <v>36</v>
      </c>
      <c r="AE2" s="13">
        <v>37</v>
      </c>
      <c r="AF2" s="13">
        <v>31</v>
      </c>
      <c r="AG2" s="13">
        <v>35</v>
      </c>
      <c r="AH2" s="13">
        <v>39</v>
      </c>
      <c r="AI2" s="13">
        <v>44</v>
      </c>
      <c r="AJ2" s="13">
        <v>45</v>
      </c>
      <c r="AK2" s="13">
        <v>46</v>
      </c>
      <c r="AL2" s="13"/>
      <c r="AM2" s="13"/>
      <c r="AN2" s="13"/>
      <c r="AO2" s="13"/>
      <c r="AP2" s="13"/>
      <c r="AQ2" s="13"/>
      <c r="AR2" s="13"/>
      <c r="AS2" s="13"/>
      <c r="AT2" s="13"/>
      <c r="AU2" s="13"/>
      <c r="AV2" s="13"/>
      <c r="AW2" s="13"/>
      <c r="AX2" s="13"/>
      <c r="AY2" s="13"/>
      <c r="AZ2" s="13"/>
      <c r="BM2" s="10"/>
      <c r="BN2" s="10"/>
      <c r="BO2" s="10"/>
      <c r="BQ2" s="28"/>
      <c r="BR2" s="28"/>
      <c r="BS2" s="28"/>
    </row>
    <row r="3" spans="1:73" x14ac:dyDescent="0.25">
      <c r="A3" s="7">
        <v>1</v>
      </c>
      <c r="B3" s="12" t="s">
        <v>95</v>
      </c>
      <c r="C3" s="13">
        <v>4</v>
      </c>
      <c r="D3" s="12"/>
      <c r="E3" s="15" t="s">
        <v>168</v>
      </c>
      <c r="F3" s="13">
        <v>1</v>
      </c>
      <c r="G3" s="13">
        <v>12</v>
      </c>
      <c r="H3" s="13">
        <v>0</v>
      </c>
      <c r="K3" s="9" t="s">
        <v>16</v>
      </c>
      <c r="L3" s="10" t="s">
        <v>20</v>
      </c>
      <c r="M3" s="13"/>
      <c r="N3" s="13"/>
      <c r="O3" s="13"/>
      <c r="P3" s="41" t="s">
        <v>98</v>
      </c>
      <c r="Q3" s="13"/>
      <c r="R3" s="22"/>
      <c r="S3" s="41" t="s">
        <v>98</v>
      </c>
      <c r="T3" s="22"/>
      <c r="U3" s="13"/>
      <c r="V3" s="22"/>
      <c r="W3" s="22"/>
      <c r="X3" s="13" t="s">
        <v>21</v>
      </c>
      <c r="Y3" s="13"/>
      <c r="Z3" s="13"/>
      <c r="AA3" s="13"/>
      <c r="AB3" s="13"/>
      <c r="AC3" s="13"/>
      <c r="AD3" s="13"/>
      <c r="AE3" s="13"/>
      <c r="AF3" s="13"/>
      <c r="AG3" s="13"/>
      <c r="AH3" s="13"/>
      <c r="AI3" s="13"/>
      <c r="AJ3" s="13"/>
      <c r="AK3" s="13"/>
      <c r="AL3" s="13"/>
      <c r="AM3" s="13"/>
      <c r="AN3" s="13"/>
      <c r="AO3" s="13"/>
      <c r="AP3" s="13"/>
      <c r="AQ3" s="13"/>
      <c r="AR3" s="13"/>
      <c r="AS3" s="13"/>
      <c r="AT3" s="13"/>
      <c r="AU3" s="13"/>
      <c r="AV3" s="13"/>
      <c r="AW3" s="13"/>
      <c r="AX3" s="13"/>
      <c r="AY3" s="13"/>
      <c r="AZ3" s="13"/>
      <c r="BM3" s="7" t="s">
        <v>22</v>
      </c>
      <c r="BN3" s="7" t="s">
        <v>24</v>
      </c>
      <c r="BO3" s="7" t="s">
        <v>25</v>
      </c>
      <c r="BQ3" s="28" t="s">
        <v>22</v>
      </c>
      <c r="BR3" s="28" t="s">
        <v>24</v>
      </c>
      <c r="BS3" s="28" t="s">
        <v>25</v>
      </c>
    </row>
    <row r="4" spans="1:73" x14ac:dyDescent="0.25">
      <c r="A4" s="7">
        <v>2</v>
      </c>
      <c r="B4" s="12" t="s">
        <v>101</v>
      </c>
      <c r="C4" s="13">
        <v>9</v>
      </c>
      <c r="D4" s="12"/>
      <c r="E4" s="15">
        <v>847818</v>
      </c>
      <c r="F4" s="13">
        <v>1</v>
      </c>
      <c r="G4" s="13">
        <v>8</v>
      </c>
      <c r="H4" s="13">
        <v>0</v>
      </c>
      <c r="I4" s="39"/>
      <c r="J4" s="39"/>
      <c r="L4" t="s">
        <v>460</v>
      </c>
      <c r="M4" s="21">
        <v>2</v>
      </c>
      <c r="N4" s="21" t="s">
        <v>161</v>
      </c>
      <c r="O4" s="18" t="s">
        <v>163</v>
      </c>
      <c r="P4" s="18" t="s">
        <v>156</v>
      </c>
      <c r="Q4" s="21" t="s">
        <v>162</v>
      </c>
      <c r="R4" s="18" t="s">
        <v>160</v>
      </c>
      <c r="S4" s="18" t="s">
        <v>97</v>
      </c>
      <c r="T4" s="18" t="s">
        <v>108</v>
      </c>
      <c r="U4" s="18" t="s">
        <v>109</v>
      </c>
      <c r="V4" s="18" t="s">
        <v>112</v>
      </c>
      <c r="W4" s="18" t="s">
        <v>112</v>
      </c>
      <c r="X4" s="18" t="s">
        <v>167</v>
      </c>
      <c r="Y4" s="18" t="s">
        <v>167</v>
      </c>
      <c r="Z4" s="18" t="s">
        <v>167</v>
      </c>
      <c r="AA4" s="18" t="s">
        <v>142</v>
      </c>
      <c r="AB4" s="18" t="s">
        <v>142</v>
      </c>
      <c r="AC4" s="18" t="s">
        <v>142</v>
      </c>
      <c r="AD4" s="18" t="s">
        <v>134</v>
      </c>
      <c r="AE4" s="45" t="s">
        <v>131</v>
      </c>
      <c r="AF4" s="18" t="s">
        <v>119</v>
      </c>
      <c r="AG4" s="18" t="s">
        <v>147</v>
      </c>
      <c r="AH4" s="18">
        <v>3</v>
      </c>
      <c r="AI4" s="18" t="s">
        <v>152</v>
      </c>
      <c r="AJ4" s="18" t="s">
        <v>153</v>
      </c>
      <c r="AK4" s="18" t="s">
        <v>138</v>
      </c>
      <c r="AL4" s="42"/>
      <c r="AM4" s="42"/>
      <c r="AN4" s="42"/>
      <c r="AO4" s="42"/>
      <c r="AP4" s="42"/>
      <c r="AQ4" s="42"/>
      <c r="AR4" s="42"/>
      <c r="AS4" s="42"/>
      <c r="AT4" s="42"/>
      <c r="AU4" s="42"/>
      <c r="AV4" s="42"/>
      <c r="AW4" s="42"/>
      <c r="AX4" s="42"/>
      <c r="AY4" s="42"/>
      <c r="AZ4" s="42"/>
      <c r="BA4" s="19"/>
      <c r="BB4" s="19"/>
      <c r="BC4" s="19"/>
      <c r="BD4" s="19"/>
      <c r="BE4" s="19"/>
      <c r="BF4" s="19"/>
      <c r="BG4" s="19"/>
      <c r="BH4" s="19"/>
      <c r="BI4" s="19"/>
      <c r="BJ4" s="19"/>
      <c r="BK4" s="19"/>
      <c r="BL4" s="19"/>
      <c r="BM4" t="s">
        <v>595</v>
      </c>
      <c r="BN4" s="18" t="s">
        <v>165</v>
      </c>
      <c r="BO4" s="18">
        <v>30</v>
      </c>
      <c r="BQ4" t="s">
        <v>595</v>
      </c>
      <c r="BR4" s="18" t="s">
        <v>166</v>
      </c>
      <c r="BS4" s="18">
        <v>30</v>
      </c>
      <c r="BU4" s="39"/>
    </row>
    <row r="5" spans="1:73" x14ac:dyDescent="0.25">
      <c r="A5" s="7">
        <v>3</v>
      </c>
      <c r="B5" s="12" t="s">
        <v>102</v>
      </c>
      <c r="C5" s="13">
        <v>10</v>
      </c>
      <c r="D5" s="12"/>
      <c r="E5" s="13">
        <v>53580</v>
      </c>
      <c r="F5" s="13">
        <v>1</v>
      </c>
      <c r="G5" s="13">
        <v>8</v>
      </c>
      <c r="H5" s="13">
        <v>0</v>
      </c>
      <c r="I5" s="39"/>
      <c r="J5" s="39"/>
      <c r="L5" s="46"/>
      <c r="M5" s="21"/>
      <c r="N5" s="21"/>
      <c r="O5" s="18"/>
      <c r="P5" s="18"/>
      <c r="Q5" s="21"/>
      <c r="R5" s="18"/>
      <c r="S5" s="18"/>
      <c r="T5" s="18"/>
      <c r="U5" s="18"/>
      <c r="V5" s="18"/>
      <c r="W5" s="18"/>
      <c r="X5" s="18"/>
      <c r="Y5" s="18"/>
      <c r="Z5" s="18"/>
      <c r="AA5" s="18"/>
      <c r="AB5" s="18"/>
      <c r="AC5" s="18"/>
      <c r="AD5" s="18"/>
      <c r="AE5" s="45"/>
      <c r="AF5" s="18"/>
      <c r="AG5" s="18"/>
      <c r="AH5" s="18"/>
      <c r="AI5" s="18"/>
      <c r="AJ5" s="18"/>
      <c r="AK5" s="18"/>
      <c r="AL5" s="42"/>
      <c r="AM5" s="42"/>
      <c r="AN5" s="42"/>
      <c r="AO5" s="42"/>
      <c r="AP5" s="42"/>
      <c r="AQ5" s="42"/>
      <c r="AR5" s="42"/>
      <c r="AS5" s="42"/>
      <c r="AT5" s="42"/>
      <c r="AU5" s="42"/>
      <c r="AV5" s="42"/>
      <c r="AW5" s="42"/>
      <c r="AX5" s="42"/>
      <c r="AY5" s="42"/>
      <c r="AZ5" s="42"/>
      <c r="BA5" s="19"/>
      <c r="BB5" s="19"/>
      <c r="BC5" s="19"/>
      <c r="BD5" s="19"/>
      <c r="BE5" s="19"/>
      <c r="BF5" s="19"/>
      <c r="BG5" s="19"/>
      <c r="BH5" s="19"/>
      <c r="BI5" s="19"/>
      <c r="BJ5" s="19"/>
      <c r="BK5" s="19"/>
      <c r="BL5" s="19"/>
      <c r="BM5" s="18"/>
      <c r="BN5" s="18"/>
      <c r="BO5" s="18"/>
      <c r="BQ5" s="18"/>
      <c r="BR5" s="18"/>
      <c r="BS5" s="18"/>
      <c r="BU5" s="39"/>
    </row>
    <row r="6" spans="1:73" x14ac:dyDescent="0.25">
      <c r="A6" s="7">
        <v>4</v>
      </c>
      <c r="B6" s="12"/>
      <c r="C6" s="13"/>
      <c r="D6" s="12"/>
      <c r="E6" s="13"/>
      <c r="F6" s="13"/>
      <c r="G6" s="13"/>
      <c r="H6" s="13"/>
      <c r="I6" s="39"/>
      <c r="J6" s="39"/>
      <c r="L6" s="46"/>
      <c r="M6" s="21"/>
      <c r="N6" s="21"/>
      <c r="O6" s="18"/>
      <c r="P6" s="18"/>
      <c r="Q6" s="21"/>
      <c r="R6" s="18"/>
      <c r="S6" s="18"/>
      <c r="T6" s="18"/>
      <c r="U6" s="18"/>
      <c r="V6" s="18"/>
      <c r="W6" s="18"/>
      <c r="X6" s="18"/>
      <c r="Y6" s="18"/>
      <c r="Z6" s="18"/>
      <c r="AA6" s="18"/>
      <c r="AB6" s="18"/>
      <c r="AC6" s="18"/>
      <c r="AD6" s="18"/>
      <c r="AE6" s="45"/>
      <c r="AF6" s="18"/>
      <c r="AG6" s="18"/>
      <c r="AH6" s="18"/>
      <c r="AI6" s="18"/>
      <c r="AJ6" s="18"/>
      <c r="AK6" s="18"/>
      <c r="AL6" s="42"/>
      <c r="AM6" s="42"/>
      <c r="AN6" s="42"/>
      <c r="AO6" s="42"/>
      <c r="AP6" s="42"/>
      <c r="AQ6" s="42"/>
      <c r="AR6" s="42"/>
      <c r="AS6" s="42"/>
      <c r="AT6" s="42"/>
      <c r="AU6" s="42"/>
      <c r="AV6" s="42"/>
      <c r="AW6" s="42"/>
      <c r="AX6" s="42"/>
      <c r="AY6" s="42"/>
      <c r="AZ6" s="42"/>
      <c r="BA6" s="19"/>
      <c r="BB6" s="19"/>
      <c r="BC6" s="19"/>
      <c r="BD6" s="19"/>
      <c r="BE6" s="19"/>
      <c r="BF6" s="19"/>
      <c r="BG6" s="19"/>
      <c r="BH6" s="19"/>
      <c r="BI6" s="19"/>
      <c r="BJ6" s="19"/>
      <c r="BK6" s="19"/>
      <c r="BL6" s="19"/>
      <c r="BM6" s="18"/>
      <c r="BN6" s="18"/>
      <c r="BO6" s="18"/>
      <c r="BQ6" s="18"/>
      <c r="BR6" s="18"/>
      <c r="BS6" s="18"/>
      <c r="BU6" s="39"/>
    </row>
    <row r="7" spans="1:73" x14ac:dyDescent="0.25">
      <c r="A7" s="7">
        <v>5</v>
      </c>
      <c r="B7" s="12"/>
      <c r="C7" s="13"/>
      <c r="D7" s="12"/>
      <c r="E7" s="16"/>
      <c r="F7" s="13"/>
      <c r="G7" s="13"/>
      <c r="H7" s="13"/>
      <c r="I7" s="39"/>
      <c r="J7" s="39"/>
      <c r="L7" s="46"/>
      <c r="M7" s="21"/>
      <c r="N7" s="21"/>
      <c r="O7" s="18"/>
      <c r="P7" s="18"/>
      <c r="Q7" s="21"/>
      <c r="R7" s="18"/>
      <c r="S7" s="18"/>
      <c r="T7" s="18"/>
      <c r="U7" s="18"/>
      <c r="V7" s="18"/>
      <c r="W7" s="18"/>
      <c r="X7" s="18"/>
      <c r="Y7" s="18"/>
      <c r="Z7" s="18"/>
      <c r="AA7" s="18"/>
      <c r="AB7" s="18"/>
      <c r="AC7" s="18"/>
      <c r="AD7" s="18"/>
      <c r="AE7" s="45"/>
      <c r="AF7" s="18"/>
      <c r="AG7" s="18"/>
      <c r="AH7" s="18"/>
      <c r="AI7" s="18"/>
      <c r="AJ7" s="18"/>
      <c r="AK7" s="18"/>
      <c r="AL7" s="42"/>
      <c r="AM7" s="42"/>
      <c r="AN7" s="42"/>
      <c r="AO7" s="42"/>
      <c r="AP7" s="42"/>
      <c r="AQ7" s="42"/>
      <c r="AR7" s="42"/>
      <c r="AS7" s="42"/>
      <c r="AT7" s="42"/>
      <c r="AU7" s="42"/>
      <c r="AV7" s="42"/>
      <c r="AW7" s="42"/>
      <c r="AX7" s="42"/>
      <c r="AY7" s="42"/>
      <c r="AZ7" s="42"/>
      <c r="BA7" s="19"/>
      <c r="BB7" s="19"/>
      <c r="BC7" s="19"/>
      <c r="BD7" s="19"/>
      <c r="BE7" s="19"/>
      <c r="BF7" s="19"/>
      <c r="BG7" s="19"/>
      <c r="BH7" s="19"/>
      <c r="BI7" s="19"/>
      <c r="BJ7" s="19"/>
      <c r="BK7" s="19"/>
      <c r="BL7" s="19"/>
      <c r="BM7" s="18"/>
      <c r="BN7" s="18"/>
      <c r="BO7" s="18"/>
      <c r="BQ7" s="18"/>
      <c r="BR7" s="18"/>
      <c r="BS7" s="18"/>
      <c r="BU7" s="39"/>
    </row>
    <row r="8" spans="1:73" x14ac:dyDescent="0.25">
      <c r="A8" s="7">
        <v>6</v>
      </c>
      <c r="B8" s="12"/>
      <c r="C8" s="13"/>
      <c r="D8" s="12"/>
      <c r="E8" s="13"/>
      <c r="F8" s="13"/>
      <c r="G8" s="13"/>
      <c r="H8" s="13"/>
      <c r="I8" s="39"/>
      <c r="J8" s="39"/>
      <c r="L8" s="46"/>
      <c r="M8" s="21"/>
      <c r="N8" s="21"/>
      <c r="O8" s="18"/>
      <c r="P8" s="18"/>
      <c r="Q8" s="21"/>
      <c r="R8" s="18"/>
      <c r="S8" s="18"/>
      <c r="T8" s="18"/>
      <c r="U8" s="18"/>
      <c r="V8" s="18"/>
      <c r="W8" s="18"/>
      <c r="X8" s="18"/>
      <c r="Y8" s="18"/>
      <c r="Z8" s="18"/>
      <c r="AA8" s="18"/>
      <c r="AB8" s="18"/>
      <c r="AC8" s="18"/>
      <c r="AD8" s="18"/>
      <c r="AE8" s="45"/>
      <c r="AF8" s="18"/>
      <c r="AG8" s="18"/>
      <c r="AH8" s="18"/>
      <c r="AI8" s="18"/>
      <c r="AJ8" s="18"/>
      <c r="AK8" s="18"/>
      <c r="AL8" s="42"/>
      <c r="AM8" s="42"/>
      <c r="AN8" s="42"/>
      <c r="AO8" s="42"/>
      <c r="AP8" s="42"/>
      <c r="AQ8" s="42"/>
      <c r="AR8" s="42"/>
      <c r="AS8" s="42"/>
      <c r="AT8" s="42"/>
      <c r="AU8" s="42"/>
      <c r="AV8" s="42"/>
      <c r="AW8" s="42"/>
      <c r="AX8" s="42"/>
      <c r="AY8" s="42"/>
      <c r="AZ8" s="42"/>
      <c r="BA8" s="19"/>
      <c r="BB8" s="19"/>
      <c r="BC8" s="19"/>
      <c r="BD8" s="19"/>
      <c r="BE8" s="19"/>
      <c r="BF8" s="19"/>
      <c r="BG8" s="19"/>
      <c r="BH8" s="19"/>
      <c r="BI8" s="19"/>
      <c r="BJ8" s="19"/>
      <c r="BK8" s="19"/>
      <c r="BL8" s="19"/>
      <c r="BM8" s="18"/>
      <c r="BN8" s="18"/>
      <c r="BO8" s="18"/>
      <c r="BQ8" s="18"/>
      <c r="BR8" s="18"/>
      <c r="BS8" s="18"/>
      <c r="BU8" s="39"/>
    </row>
    <row r="9" spans="1:73" x14ac:dyDescent="0.25">
      <c r="A9" s="7">
        <v>7</v>
      </c>
      <c r="B9" s="12"/>
      <c r="C9" s="13"/>
      <c r="D9" s="12"/>
      <c r="E9" s="13"/>
      <c r="F9" s="13"/>
      <c r="G9" s="13"/>
      <c r="H9" s="13"/>
      <c r="I9" s="39"/>
      <c r="J9" s="39"/>
      <c r="L9" s="46"/>
      <c r="M9" s="21"/>
      <c r="N9" s="21"/>
      <c r="O9" s="18"/>
      <c r="P9" s="18"/>
      <c r="Q9" s="21"/>
      <c r="R9" s="18"/>
      <c r="S9" s="18"/>
      <c r="T9" s="18"/>
      <c r="U9" s="18"/>
      <c r="V9" s="18"/>
      <c r="W9" s="18"/>
      <c r="X9" s="18"/>
      <c r="Y9" s="18"/>
      <c r="Z9" s="18"/>
      <c r="AA9" s="18"/>
      <c r="AB9" s="18"/>
      <c r="AC9" s="18"/>
      <c r="AD9" s="18"/>
      <c r="AE9" s="45"/>
      <c r="AF9" s="18"/>
      <c r="AG9" s="18"/>
      <c r="AH9" s="18"/>
      <c r="AI9" s="18"/>
      <c r="AJ9" s="18"/>
      <c r="AK9" s="18"/>
      <c r="AL9" s="42"/>
      <c r="AM9" s="42"/>
      <c r="AN9" s="42"/>
      <c r="AO9" s="42"/>
      <c r="AP9" s="42"/>
      <c r="AQ9" s="42"/>
      <c r="AR9" s="42"/>
      <c r="AS9" s="42"/>
      <c r="AT9" s="42"/>
      <c r="AU9" s="42"/>
      <c r="AV9" s="42"/>
      <c r="AW9" s="42"/>
      <c r="AX9" s="42"/>
      <c r="AY9" s="42"/>
      <c r="AZ9" s="42"/>
      <c r="BA9" s="19"/>
      <c r="BB9" s="19"/>
      <c r="BC9" s="19"/>
      <c r="BD9" s="19"/>
      <c r="BE9" s="19"/>
      <c r="BF9" s="19"/>
      <c r="BG9" s="19"/>
      <c r="BH9" s="19"/>
      <c r="BI9" s="19"/>
      <c r="BJ9" s="19"/>
      <c r="BK9" s="19"/>
      <c r="BL9" s="19"/>
      <c r="BM9" s="18"/>
      <c r="BN9" s="18"/>
      <c r="BO9" s="18"/>
      <c r="BQ9" s="18"/>
      <c r="BR9" s="18"/>
      <c r="BS9" s="18"/>
      <c r="BU9" s="39"/>
    </row>
    <row r="10" spans="1:73" x14ac:dyDescent="0.25">
      <c r="A10" s="7">
        <v>8</v>
      </c>
      <c r="B10" s="12"/>
      <c r="C10" s="13"/>
      <c r="D10" s="12"/>
      <c r="E10" s="13"/>
      <c r="F10" s="13"/>
      <c r="G10" s="13"/>
      <c r="H10" s="13"/>
      <c r="I10" s="39"/>
      <c r="J10" s="39"/>
      <c r="L10" s="46"/>
      <c r="M10" s="21"/>
      <c r="N10" s="21"/>
      <c r="O10" s="18"/>
      <c r="P10" s="18"/>
      <c r="Q10" s="21"/>
      <c r="R10" s="18"/>
      <c r="S10" s="18"/>
      <c r="T10" s="18"/>
      <c r="U10" s="18"/>
      <c r="V10" s="18"/>
      <c r="W10" s="18"/>
      <c r="X10" s="18"/>
      <c r="Y10" s="18"/>
      <c r="Z10" s="18"/>
      <c r="AA10" s="18"/>
      <c r="AB10" s="18"/>
      <c r="AC10" s="18"/>
      <c r="AD10" s="18"/>
      <c r="AE10" s="45"/>
      <c r="AF10" s="18"/>
      <c r="AG10" s="18"/>
      <c r="AH10" s="18"/>
      <c r="AI10" s="18"/>
      <c r="AJ10" s="18"/>
      <c r="AK10" s="18"/>
      <c r="AL10" s="42"/>
      <c r="AM10" s="42"/>
      <c r="AN10" s="42"/>
      <c r="AO10" s="42"/>
      <c r="AP10" s="42"/>
      <c r="AQ10" s="42"/>
      <c r="AR10" s="42"/>
      <c r="AS10" s="42"/>
      <c r="AT10" s="42"/>
      <c r="AU10" s="42"/>
      <c r="AV10" s="42"/>
      <c r="AW10" s="42"/>
      <c r="AX10" s="42"/>
      <c r="AY10" s="42"/>
      <c r="AZ10" s="42"/>
      <c r="BA10" s="19"/>
      <c r="BB10" s="19"/>
      <c r="BC10" s="19"/>
      <c r="BD10" s="19"/>
      <c r="BE10" s="19"/>
      <c r="BF10" s="19"/>
      <c r="BG10" s="19"/>
      <c r="BH10" s="19"/>
      <c r="BI10" s="19"/>
      <c r="BJ10" s="19"/>
      <c r="BK10" s="19"/>
      <c r="BL10" s="19"/>
      <c r="BM10" s="18"/>
      <c r="BN10" s="18"/>
      <c r="BO10" s="18"/>
      <c r="BQ10" s="18"/>
      <c r="BR10" s="18"/>
      <c r="BS10" s="18"/>
      <c r="BU10" s="39"/>
    </row>
    <row r="11" spans="1:73" x14ac:dyDescent="0.25">
      <c r="A11" s="7">
        <v>9</v>
      </c>
      <c r="B11" s="12"/>
      <c r="C11" s="13"/>
      <c r="D11" s="12"/>
      <c r="E11" s="13"/>
      <c r="F11" s="13"/>
      <c r="G11" s="13"/>
      <c r="H11" s="13"/>
      <c r="I11" s="39"/>
      <c r="J11" s="39"/>
      <c r="L11" s="46"/>
      <c r="M11" s="21"/>
      <c r="N11" s="21"/>
      <c r="O11" s="18"/>
      <c r="P11" s="18"/>
      <c r="Q11" s="21"/>
      <c r="R11" s="18"/>
      <c r="S11" s="18"/>
      <c r="T11" s="18"/>
      <c r="U11" s="18"/>
      <c r="V11" s="18"/>
      <c r="W11" s="18"/>
      <c r="X11" s="18"/>
      <c r="Y11" s="18"/>
      <c r="Z11" s="18"/>
      <c r="AA11" s="18"/>
      <c r="AB11" s="18"/>
      <c r="AC11" s="18"/>
      <c r="AD11" s="18"/>
      <c r="AE11" s="45"/>
      <c r="AF11" s="18"/>
      <c r="AG11" s="18"/>
      <c r="AH11" s="18"/>
      <c r="AI11" s="18"/>
      <c r="AJ11" s="18"/>
      <c r="AK11" s="18"/>
      <c r="AL11" s="42"/>
      <c r="AM11" s="42"/>
      <c r="AN11" s="42"/>
      <c r="AO11" s="42"/>
      <c r="AP11" s="42"/>
      <c r="AQ11" s="42"/>
      <c r="AR11" s="42"/>
      <c r="AS11" s="42"/>
      <c r="AT11" s="42"/>
      <c r="AU11" s="42"/>
      <c r="AV11" s="42"/>
      <c r="AW11" s="42"/>
      <c r="AX11" s="42"/>
      <c r="AY11" s="42"/>
      <c r="AZ11" s="42"/>
      <c r="BA11" s="19"/>
      <c r="BB11" s="19"/>
      <c r="BC11" s="19"/>
      <c r="BD11" s="19"/>
      <c r="BE11" s="19"/>
      <c r="BF11" s="19"/>
      <c r="BG11" s="19"/>
      <c r="BH11" s="19"/>
      <c r="BI11" s="19"/>
      <c r="BJ11" s="19"/>
      <c r="BK11" s="19"/>
      <c r="BL11" s="19"/>
      <c r="BM11" s="18"/>
      <c r="BN11" s="18"/>
      <c r="BO11" s="18"/>
      <c r="BQ11" s="18"/>
      <c r="BR11" s="18"/>
      <c r="BS11" s="18"/>
      <c r="BU11" s="39"/>
    </row>
    <row r="12" spans="1:73" x14ac:dyDescent="0.25">
      <c r="A12" s="7">
        <v>10</v>
      </c>
      <c r="B12" s="12"/>
      <c r="C12" s="13"/>
      <c r="D12" s="12"/>
      <c r="E12" s="13"/>
      <c r="F12" s="13"/>
      <c r="G12" s="13"/>
      <c r="H12" s="13"/>
      <c r="I12" s="39"/>
      <c r="J12" s="39"/>
      <c r="L12" s="46"/>
      <c r="M12" s="21"/>
      <c r="N12" s="21"/>
      <c r="O12" s="18"/>
      <c r="P12" s="18"/>
      <c r="Q12" s="21"/>
      <c r="R12" s="18"/>
      <c r="S12" s="18"/>
      <c r="T12" s="18"/>
      <c r="U12" s="18"/>
      <c r="V12" s="18"/>
      <c r="W12" s="18"/>
      <c r="X12" s="18"/>
      <c r="Y12" s="18"/>
      <c r="Z12" s="18"/>
      <c r="AA12" s="18"/>
      <c r="AB12" s="18"/>
      <c r="AC12" s="18"/>
      <c r="AD12" s="18"/>
      <c r="AE12" s="45"/>
      <c r="AF12" s="18"/>
      <c r="AG12" s="18"/>
      <c r="AH12" s="18"/>
      <c r="AI12" s="18"/>
      <c r="AJ12" s="18"/>
      <c r="AK12" s="18"/>
      <c r="AL12" s="42"/>
      <c r="AM12" s="42"/>
      <c r="AN12" s="42"/>
      <c r="AO12" s="42"/>
      <c r="AP12" s="42"/>
      <c r="AQ12" s="42"/>
      <c r="AR12" s="42"/>
      <c r="AS12" s="42"/>
      <c r="AT12" s="42"/>
      <c r="AU12" s="42"/>
      <c r="AV12" s="42"/>
      <c r="AW12" s="42"/>
      <c r="AX12" s="42"/>
      <c r="AY12" s="42"/>
      <c r="AZ12" s="42"/>
      <c r="BA12" s="19"/>
      <c r="BB12" s="19"/>
      <c r="BC12" s="19"/>
      <c r="BD12" s="19"/>
      <c r="BE12" s="19"/>
      <c r="BF12" s="19"/>
      <c r="BG12" s="19"/>
      <c r="BH12" s="19"/>
      <c r="BI12" s="19"/>
      <c r="BJ12" s="19"/>
      <c r="BK12" s="19"/>
      <c r="BL12" s="19"/>
      <c r="BM12" s="18"/>
      <c r="BN12" s="18"/>
      <c r="BO12" s="18"/>
      <c r="BQ12" s="18"/>
      <c r="BR12" s="18"/>
      <c r="BS12" s="18"/>
      <c r="BU12" s="39"/>
    </row>
    <row r="13" spans="1:73" x14ac:dyDescent="0.25">
      <c r="B13" s="5"/>
      <c r="C13" s="6"/>
      <c r="D13" s="5"/>
      <c r="E13" s="6"/>
      <c r="F13" s="6"/>
      <c r="L13" s="46"/>
      <c r="M13" s="21"/>
      <c r="N13" s="21"/>
      <c r="O13" s="18"/>
      <c r="P13" s="18"/>
      <c r="Q13" s="21"/>
      <c r="R13" s="18"/>
      <c r="S13" s="18"/>
      <c r="T13" s="18"/>
      <c r="U13" s="18"/>
      <c r="V13" s="18"/>
      <c r="W13" s="18"/>
      <c r="X13" s="18"/>
      <c r="Y13" s="18"/>
      <c r="Z13" s="18"/>
      <c r="AA13" s="18"/>
      <c r="AB13" s="18"/>
      <c r="AC13" s="18"/>
      <c r="AD13" s="18"/>
      <c r="AE13" s="45"/>
      <c r="AF13" s="18"/>
      <c r="AG13" s="18"/>
      <c r="AH13" s="18"/>
      <c r="AI13" s="18"/>
      <c r="AJ13" s="18"/>
      <c r="AK13" s="18"/>
      <c r="AL13" s="42"/>
      <c r="AM13" s="42"/>
      <c r="AN13" s="42"/>
      <c r="AO13" s="42"/>
      <c r="AP13" s="42"/>
      <c r="AQ13" s="42"/>
      <c r="AR13" s="42"/>
      <c r="AS13" s="42"/>
      <c r="AT13" s="42"/>
      <c r="AU13" s="42"/>
      <c r="AV13" s="42"/>
      <c r="AW13" s="42"/>
      <c r="AX13" s="42"/>
      <c r="AY13" s="42"/>
      <c r="AZ13" s="42"/>
      <c r="BA13" s="19"/>
      <c r="BB13" s="19"/>
      <c r="BC13" s="19"/>
      <c r="BD13" s="19"/>
      <c r="BE13" s="19"/>
      <c r="BF13" s="19"/>
      <c r="BG13" s="19"/>
      <c r="BH13" s="19"/>
      <c r="BI13" s="19"/>
      <c r="BJ13" s="19"/>
      <c r="BK13" s="19"/>
      <c r="BL13" s="19"/>
      <c r="BM13" s="18"/>
      <c r="BN13" s="18"/>
      <c r="BO13" s="18"/>
      <c r="BQ13" s="18"/>
      <c r="BR13" s="18"/>
      <c r="BS13" s="18"/>
      <c r="BU13" s="39"/>
    </row>
    <row r="14" spans="1:73" x14ac:dyDescent="0.25">
      <c r="I14" s="39"/>
      <c r="J14" s="39"/>
      <c r="L14" s="46"/>
      <c r="M14" s="21"/>
      <c r="N14" s="21"/>
      <c r="O14" s="18"/>
      <c r="P14" s="18"/>
      <c r="Q14" s="21"/>
      <c r="R14" s="18"/>
      <c r="S14" s="18"/>
      <c r="T14" s="18"/>
      <c r="U14" s="18"/>
      <c r="V14" s="18"/>
      <c r="W14" s="18"/>
      <c r="X14" s="18"/>
      <c r="Y14" s="18"/>
      <c r="Z14" s="18"/>
      <c r="AA14" s="18"/>
      <c r="AB14" s="18"/>
      <c r="AC14" s="18"/>
      <c r="AD14" s="18"/>
      <c r="AE14" s="45"/>
      <c r="AF14" s="18"/>
      <c r="AG14" s="18"/>
      <c r="AH14" s="18"/>
      <c r="AI14" s="18"/>
      <c r="AJ14" s="18"/>
      <c r="AK14" s="18"/>
      <c r="AL14" s="42"/>
      <c r="AM14" s="42"/>
      <c r="AN14" s="42"/>
      <c r="AO14" s="42"/>
      <c r="AP14" s="42"/>
      <c r="AQ14" s="42"/>
      <c r="AR14" s="42"/>
      <c r="AS14" s="42"/>
      <c r="AT14" s="42"/>
      <c r="AU14" s="42"/>
      <c r="AV14" s="42"/>
      <c r="AW14" s="42"/>
      <c r="AX14" s="42"/>
      <c r="AY14" s="42"/>
      <c r="AZ14" s="42"/>
      <c r="BA14" s="19"/>
      <c r="BB14" s="19"/>
      <c r="BC14" s="19"/>
      <c r="BD14" s="19"/>
      <c r="BE14" s="19"/>
      <c r="BF14" s="19"/>
      <c r="BG14" s="19"/>
      <c r="BH14" s="19"/>
      <c r="BI14" s="19"/>
      <c r="BJ14" s="19"/>
      <c r="BK14" s="19"/>
      <c r="BL14" s="19"/>
      <c r="BM14" s="18"/>
      <c r="BN14" s="18"/>
      <c r="BO14" s="18"/>
      <c r="BQ14" s="18"/>
      <c r="BR14" s="18"/>
      <c r="BS14" s="18"/>
      <c r="BU14" s="39"/>
    </row>
    <row r="15" spans="1:73" x14ac:dyDescent="0.25">
      <c r="B15" s="61" t="s">
        <v>11</v>
      </c>
      <c r="C15" s="61"/>
      <c r="D15" s="61"/>
      <c r="I15" s="39"/>
      <c r="J15" s="39"/>
      <c r="L15" s="46"/>
      <c r="M15" s="21"/>
      <c r="N15" s="21"/>
      <c r="O15" s="18"/>
      <c r="P15" s="18"/>
      <c r="Q15" s="21"/>
      <c r="R15" s="18"/>
      <c r="S15" s="18"/>
      <c r="T15" s="18"/>
      <c r="U15" s="18"/>
      <c r="V15" s="18"/>
      <c r="W15" s="18"/>
      <c r="X15" s="18"/>
      <c r="Y15" s="18"/>
      <c r="Z15" s="18"/>
      <c r="AA15" s="18"/>
      <c r="AB15" s="18"/>
      <c r="AC15" s="18"/>
      <c r="AD15" s="18"/>
      <c r="AE15" s="45"/>
      <c r="AF15" s="18"/>
      <c r="AG15" s="18"/>
      <c r="AH15" s="18"/>
      <c r="AI15" s="18"/>
      <c r="AJ15" s="18"/>
      <c r="AK15" s="18"/>
      <c r="AL15" s="42"/>
      <c r="AM15" s="42"/>
      <c r="AN15" s="42"/>
      <c r="AO15" s="42"/>
      <c r="AP15" s="42"/>
      <c r="AQ15" s="42"/>
      <c r="AR15" s="42"/>
      <c r="AS15" s="42"/>
      <c r="AT15" s="42"/>
      <c r="AU15" s="42"/>
      <c r="AV15" s="42"/>
      <c r="AW15" s="42"/>
      <c r="AX15" s="42"/>
      <c r="AY15" s="42"/>
      <c r="AZ15" s="42"/>
      <c r="BA15" s="19"/>
      <c r="BB15" s="19"/>
      <c r="BC15" s="19"/>
      <c r="BD15" s="19"/>
      <c r="BE15" s="19"/>
      <c r="BF15" s="19"/>
      <c r="BG15" s="19"/>
      <c r="BH15" s="19"/>
      <c r="BI15" s="19"/>
      <c r="BJ15" s="19"/>
      <c r="BK15" s="19"/>
      <c r="BL15" s="19"/>
      <c r="BM15" s="18"/>
      <c r="BN15" s="18"/>
      <c r="BO15" s="18"/>
      <c r="BQ15" s="18"/>
      <c r="BR15" s="18"/>
      <c r="BS15" s="18"/>
      <c r="BU15" s="39"/>
    </row>
    <row r="16" spans="1:73" x14ac:dyDescent="0.25">
      <c r="A16" s="7" t="s">
        <v>9</v>
      </c>
      <c r="B16" s="11" t="s">
        <v>4</v>
      </c>
      <c r="C16" s="7" t="s">
        <v>3</v>
      </c>
      <c r="D16" s="11" t="s">
        <v>8</v>
      </c>
      <c r="F16" s="20" t="s">
        <v>18</v>
      </c>
      <c r="G16" s="13">
        <v>46</v>
      </c>
      <c r="I16" s="39"/>
      <c r="J16" s="39"/>
      <c r="L16" s="46"/>
      <c r="M16" s="21"/>
      <c r="N16" s="21"/>
      <c r="O16" s="18"/>
      <c r="P16" s="18"/>
      <c r="Q16" s="21"/>
      <c r="R16" s="18"/>
      <c r="S16" s="18"/>
      <c r="T16" s="18"/>
      <c r="U16" s="18"/>
      <c r="V16" s="18"/>
      <c r="W16" s="18"/>
      <c r="X16" s="18"/>
      <c r="Y16" s="18"/>
      <c r="Z16" s="18"/>
      <c r="AA16" s="18"/>
      <c r="AB16" s="18"/>
      <c r="AC16" s="18"/>
      <c r="AD16" s="18"/>
      <c r="AE16" s="45"/>
      <c r="AF16" s="18"/>
      <c r="AG16" s="18"/>
      <c r="AH16" s="18"/>
      <c r="AI16" s="18"/>
      <c r="AJ16" s="18"/>
      <c r="AK16" s="18"/>
      <c r="AL16" s="42"/>
      <c r="AM16" s="42"/>
      <c r="AN16" s="42"/>
      <c r="AO16" s="42"/>
      <c r="AP16" s="42"/>
      <c r="AQ16" s="42"/>
      <c r="AR16" s="42"/>
      <c r="AS16" s="42"/>
      <c r="AT16" s="42"/>
      <c r="AU16" s="42"/>
      <c r="AV16" s="42"/>
      <c r="AW16" s="42"/>
      <c r="AX16" s="42"/>
      <c r="AY16" s="42"/>
      <c r="AZ16" s="42"/>
      <c r="BA16" s="19"/>
      <c r="BB16" s="19"/>
      <c r="BC16" s="19"/>
      <c r="BD16" s="19"/>
      <c r="BE16" s="19"/>
      <c r="BF16" s="19"/>
      <c r="BG16" s="19"/>
      <c r="BH16" s="19"/>
      <c r="BI16" s="19"/>
      <c r="BJ16" s="19"/>
      <c r="BK16" s="19"/>
      <c r="BL16" s="19"/>
      <c r="BM16" s="18"/>
      <c r="BN16" s="18"/>
      <c r="BO16" s="18"/>
      <c r="BQ16" s="18"/>
      <c r="BR16" s="18"/>
      <c r="BS16" s="18"/>
      <c r="BU16" s="39"/>
    </row>
    <row r="17" spans="1:71" x14ac:dyDescent="0.25">
      <c r="A17" s="7">
        <v>1</v>
      </c>
      <c r="B17" s="14" t="s">
        <v>85</v>
      </c>
      <c r="C17" s="13">
        <v>1</v>
      </c>
      <c r="D17" s="17" t="s">
        <v>29</v>
      </c>
      <c r="I17" s="39"/>
      <c r="J17" s="39"/>
      <c r="L17" s="21"/>
      <c r="M17" s="21"/>
      <c r="N17" s="21"/>
      <c r="O17" s="18"/>
      <c r="P17" s="18"/>
      <c r="Q17" s="21"/>
      <c r="R17" s="18"/>
      <c r="S17" s="18"/>
      <c r="T17" s="18"/>
      <c r="U17" s="18"/>
      <c r="V17" s="18"/>
      <c r="W17" s="18"/>
      <c r="X17" s="18"/>
      <c r="Y17" s="18"/>
      <c r="Z17" s="18"/>
      <c r="AA17" s="18"/>
      <c r="AB17" s="18"/>
      <c r="AC17" s="18"/>
      <c r="AD17" s="18"/>
      <c r="AE17" s="45"/>
      <c r="AF17" s="18"/>
      <c r="AG17" s="18"/>
      <c r="AH17" s="18"/>
      <c r="AI17" s="18"/>
      <c r="AJ17" s="18"/>
      <c r="AK17" s="18"/>
      <c r="AL17" s="42"/>
      <c r="AM17" s="42"/>
      <c r="AN17" s="42"/>
      <c r="AO17" s="42"/>
      <c r="AP17" s="42"/>
      <c r="AQ17" s="42"/>
      <c r="AR17" s="42"/>
      <c r="AS17" s="42"/>
      <c r="AT17" s="42"/>
      <c r="AU17" s="42"/>
      <c r="AV17" s="42"/>
      <c r="AW17" s="42"/>
      <c r="AX17" s="42"/>
      <c r="AY17" s="42"/>
      <c r="AZ17" s="42"/>
      <c r="BA17" s="19"/>
      <c r="BB17" s="19"/>
      <c r="BC17" s="19"/>
      <c r="BD17" s="19"/>
      <c r="BE17" s="19"/>
      <c r="BF17" s="19"/>
      <c r="BG17" s="19"/>
      <c r="BH17" s="19"/>
      <c r="BI17" s="19"/>
      <c r="BJ17" s="19"/>
      <c r="BK17" s="19"/>
      <c r="BL17" s="19"/>
      <c r="BM17" s="18"/>
      <c r="BN17" s="18"/>
      <c r="BO17" s="18"/>
      <c r="BQ17" s="18"/>
      <c r="BR17" s="18"/>
      <c r="BS17" s="18"/>
    </row>
    <row r="18" spans="1:71" x14ac:dyDescent="0.25">
      <c r="A18" s="7">
        <v>2</v>
      </c>
      <c r="B18" s="14" t="s">
        <v>92</v>
      </c>
      <c r="C18" s="13">
        <v>3</v>
      </c>
      <c r="D18" s="17" t="s">
        <v>93</v>
      </c>
      <c r="I18" s="4"/>
      <c r="L18" s="21"/>
      <c r="M18" s="21"/>
      <c r="N18" s="21"/>
      <c r="O18" s="18"/>
      <c r="P18" s="18"/>
      <c r="Q18" s="21"/>
      <c r="R18" s="18"/>
      <c r="S18" s="18"/>
      <c r="T18" s="18"/>
      <c r="U18" s="18"/>
      <c r="V18" s="18"/>
      <c r="W18" s="18"/>
      <c r="X18" s="18"/>
      <c r="Y18" s="18"/>
      <c r="Z18" s="18"/>
      <c r="AA18" s="18"/>
      <c r="AB18" s="18"/>
      <c r="AC18" s="18"/>
      <c r="AD18" s="18"/>
      <c r="AE18" s="45"/>
      <c r="AF18" s="18"/>
      <c r="AG18" s="18"/>
      <c r="AH18" s="18"/>
      <c r="AI18" s="18"/>
      <c r="AJ18" s="18"/>
      <c r="AK18" s="18"/>
      <c r="AL18" s="42"/>
      <c r="AM18" s="42"/>
      <c r="AN18" s="42"/>
      <c r="AO18" s="42"/>
      <c r="AP18" s="42"/>
      <c r="AQ18" s="42"/>
      <c r="AR18" s="42"/>
      <c r="AS18" s="42"/>
      <c r="AT18" s="42"/>
      <c r="AU18" s="42"/>
      <c r="AV18" s="42"/>
      <c r="AW18" s="42"/>
      <c r="AX18" s="42"/>
      <c r="AY18" s="42"/>
      <c r="AZ18" s="42"/>
      <c r="BA18" s="19"/>
      <c r="BB18" s="19"/>
      <c r="BC18" s="19"/>
      <c r="BD18" s="19"/>
      <c r="BE18" s="19"/>
      <c r="BF18" s="19"/>
      <c r="BG18" s="19"/>
      <c r="BH18" s="19"/>
      <c r="BI18" s="19"/>
      <c r="BJ18" s="19"/>
      <c r="BK18" s="19"/>
      <c r="BL18" s="19"/>
      <c r="BM18" s="18"/>
      <c r="BN18" s="18"/>
      <c r="BO18" s="18"/>
      <c r="BQ18" s="18"/>
      <c r="BR18" s="18"/>
      <c r="BS18" s="18"/>
    </row>
    <row r="19" spans="1:71" x14ac:dyDescent="0.25">
      <c r="A19" s="7">
        <v>3</v>
      </c>
      <c r="B19" s="14" t="s">
        <v>99</v>
      </c>
      <c r="C19" s="13">
        <v>8</v>
      </c>
      <c r="D19" s="17" t="s">
        <v>100</v>
      </c>
      <c r="I19" s="3"/>
      <c r="L19" s="21"/>
      <c r="M19" s="21"/>
      <c r="N19" s="21"/>
      <c r="O19" s="18"/>
      <c r="P19" s="18"/>
      <c r="Q19" s="21"/>
      <c r="R19" s="18"/>
      <c r="S19" s="18"/>
      <c r="T19" s="18"/>
      <c r="U19" s="18"/>
      <c r="V19" s="18"/>
      <c r="W19" s="18"/>
      <c r="X19" s="18"/>
      <c r="Y19" s="18"/>
      <c r="Z19" s="18"/>
      <c r="AA19" s="18"/>
      <c r="AB19" s="18"/>
      <c r="AC19" s="18"/>
      <c r="AD19" s="18"/>
      <c r="AE19" s="45"/>
      <c r="AF19" s="18"/>
      <c r="AG19" s="18"/>
      <c r="AH19" s="18"/>
      <c r="AI19" s="18"/>
      <c r="AJ19" s="18"/>
      <c r="AK19" s="18"/>
      <c r="AL19" s="42"/>
      <c r="AM19" s="42"/>
      <c r="AN19" s="42"/>
      <c r="AO19" s="42"/>
      <c r="AP19" s="42"/>
      <c r="AQ19" s="42"/>
      <c r="AR19" s="42"/>
      <c r="AS19" s="42"/>
      <c r="AT19" s="42"/>
      <c r="AU19" s="42"/>
      <c r="AV19" s="42"/>
      <c r="AW19" s="42"/>
      <c r="AX19" s="42"/>
      <c r="AY19" s="42"/>
      <c r="AZ19" s="42"/>
      <c r="BA19" s="19"/>
      <c r="BB19" s="19"/>
      <c r="BC19" s="19"/>
      <c r="BD19" s="19"/>
      <c r="BE19" s="19"/>
      <c r="BF19" s="19"/>
      <c r="BG19" s="19"/>
      <c r="BH19" s="19"/>
      <c r="BI19" s="19"/>
      <c r="BJ19" s="19"/>
      <c r="BK19" s="19"/>
      <c r="BL19" s="19"/>
      <c r="BM19" s="18"/>
      <c r="BN19" s="18"/>
      <c r="BO19" s="18"/>
      <c r="BQ19" s="18"/>
      <c r="BR19" s="18"/>
      <c r="BS19" s="18"/>
    </row>
    <row r="20" spans="1:71" x14ac:dyDescent="0.25">
      <c r="A20" s="7">
        <v>4</v>
      </c>
      <c r="B20" s="12" t="s">
        <v>118</v>
      </c>
      <c r="C20" s="13">
        <v>23</v>
      </c>
      <c r="D20" s="17" t="s">
        <v>120</v>
      </c>
      <c r="I20" s="3"/>
      <c r="L20" s="21"/>
      <c r="M20" s="21"/>
      <c r="N20" s="18"/>
      <c r="O20" s="18"/>
      <c r="P20" s="18"/>
      <c r="Q20" s="21"/>
      <c r="R20" s="18"/>
      <c r="S20" s="18"/>
      <c r="T20" s="18"/>
      <c r="U20" s="18"/>
      <c r="V20" s="18"/>
      <c r="W20" s="18"/>
      <c r="X20" s="18"/>
      <c r="Y20" s="18"/>
      <c r="Z20" s="18"/>
      <c r="AA20" s="18"/>
      <c r="AB20" s="18"/>
      <c r="AC20" s="18"/>
      <c r="AD20" s="18"/>
      <c r="AE20" s="45"/>
      <c r="AF20" s="18"/>
      <c r="AG20" s="18"/>
      <c r="AH20" s="18"/>
      <c r="AI20" s="18"/>
      <c r="AJ20" s="18"/>
      <c r="AK20" s="18"/>
      <c r="AL20" s="42"/>
      <c r="AM20" s="42"/>
      <c r="AN20" s="42"/>
      <c r="AO20" s="42"/>
      <c r="AP20" s="42"/>
      <c r="AQ20" s="42"/>
      <c r="AR20" s="42"/>
      <c r="AS20" s="42"/>
      <c r="AT20" s="42"/>
      <c r="AU20" s="42"/>
      <c r="AV20" s="42"/>
      <c r="AW20" s="42"/>
      <c r="AX20" s="42"/>
      <c r="AY20" s="42"/>
      <c r="AZ20" s="42"/>
      <c r="BA20" s="19"/>
      <c r="BB20" s="19"/>
      <c r="BC20" s="19"/>
      <c r="BD20" s="19"/>
      <c r="BE20" s="19"/>
      <c r="BF20" s="19"/>
      <c r="BG20" s="19"/>
      <c r="BH20" s="19"/>
      <c r="BI20" s="19"/>
      <c r="BJ20" s="19"/>
      <c r="BK20" s="19"/>
      <c r="BL20" s="19"/>
      <c r="BM20" s="18"/>
      <c r="BN20" s="18"/>
      <c r="BO20" s="18"/>
      <c r="BQ20" s="18"/>
      <c r="BR20" s="18"/>
      <c r="BS20" s="18"/>
    </row>
    <row r="21" spans="1:71" x14ac:dyDescent="0.25">
      <c r="A21" s="7">
        <v>5</v>
      </c>
      <c r="B21" s="12" t="s">
        <v>121</v>
      </c>
      <c r="C21" s="13">
        <v>24</v>
      </c>
      <c r="D21" s="17" t="s">
        <v>127</v>
      </c>
      <c r="L21" s="21"/>
      <c r="M21" s="21"/>
      <c r="N21" s="18"/>
      <c r="O21" s="18"/>
      <c r="P21" s="18"/>
      <c r="Q21" s="21"/>
      <c r="R21" s="18"/>
      <c r="S21" s="18"/>
      <c r="T21" s="18"/>
      <c r="U21" s="18"/>
      <c r="V21" s="18"/>
      <c r="W21" s="18"/>
      <c r="X21" s="18"/>
      <c r="Y21" s="18"/>
      <c r="Z21" s="18"/>
      <c r="AA21" s="18"/>
      <c r="AB21" s="18"/>
      <c r="AC21" s="18"/>
      <c r="AD21" s="18"/>
      <c r="AE21" s="45"/>
      <c r="AF21" s="18"/>
      <c r="AG21" s="18"/>
      <c r="AH21" s="18"/>
      <c r="AI21" s="18"/>
      <c r="AJ21" s="18"/>
      <c r="AK21" s="18"/>
      <c r="AL21" s="42"/>
      <c r="AM21" s="42"/>
      <c r="AN21" s="42"/>
      <c r="AO21" s="42"/>
      <c r="AP21" s="42"/>
      <c r="AQ21" s="42"/>
      <c r="AR21" s="42"/>
      <c r="AS21" s="42"/>
      <c r="AT21" s="42"/>
      <c r="AU21" s="42"/>
      <c r="AV21" s="42"/>
      <c r="AW21" s="42"/>
      <c r="AX21" s="42"/>
      <c r="AY21" s="42"/>
      <c r="AZ21" s="42"/>
      <c r="BA21" s="19"/>
      <c r="BB21" s="19"/>
      <c r="BC21" s="19"/>
      <c r="BD21" s="19"/>
      <c r="BE21" s="19"/>
      <c r="BF21" s="19"/>
      <c r="BG21" s="19"/>
      <c r="BH21" s="19"/>
      <c r="BI21" s="19"/>
      <c r="BJ21" s="19"/>
      <c r="BK21" s="19"/>
      <c r="BL21" s="19"/>
      <c r="BM21" s="18"/>
      <c r="BN21" s="18"/>
      <c r="BO21" s="18"/>
      <c r="BQ21" s="18"/>
      <c r="BR21" s="18"/>
      <c r="BS21" s="18"/>
    </row>
    <row r="22" spans="1:71" x14ac:dyDescent="0.25">
      <c r="A22" s="7">
        <v>6</v>
      </c>
      <c r="B22" s="12" t="s">
        <v>122</v>
      </c>
      <c r="C22" s="13">
        <v>25</v>
      </c>
      <c r="D22" s="17" t="s">
        <v>120</v>
      </c>
      <c r="L22" s="21"/>
      <c r="M22" s="21"/>
      <c r="N22" s="18"/>
      <c r="O22" s="18"/>
      <c r="P22" s="18"/>
      <c r="Q22" s="21"/>
      <c r="R22" s="18"/>
      <c r="S22" s="18"/>
      <c r="T22" s="18"/>
      <c r="U22" s="18"/>
      <c r="V22" s="18"/>
      <c r="W22" s="18"/>
      <c r="X22" s="18"/>
      <c r="Y22" s="18"/>
      <c r="Z22" s="18"/>
      <c r="AA22" s="18"/>
      <c r="AB22" s="18"/>
      <c r="AC22" s="18"/>
      <c r="AD22" s="18"/>
      <c r="AE22" s="45"/>
      <c r="AF22" s="18"/>
      <c r="AG22" s="18"/>
      <c r="AH22" s="18"/>
      <c r="AI22" s="18"/>
      <c r="AJ22" s="18"/>
      <c r="AK22" s="18"/>
      <c r="AL22" s="42"/>
      <c r="AM22" s="42"/>
      <c r="AN22" s="42"/>
      <c r="AO22" s="42"/>
      <c r="AP22" s="42"/>
      <c r="AQ22" s="42"/>
      <c r="AR22" s="42"/>
      <c r="AS22" s="42"/>
      <c r="AT22" s="42"/>
      <c r="AU22" s="42"/>
      <c r="AV22" s="42"/>
      <c r="AW22" s="42"/>
      <c r="AX22" s="42"/>
      <c r="AY22" s="42"/>
      <c r="AZ22" s="42"/>
      <c r="BA22" s="19"/>
      <c r="BB22" s="19"/>
      <c r="BC22" s="19"/>
      <c r="BD22" s="19"/>
      <c r="BE22" s="19"/>
      <c r="BF22" s="19"/>
      <c r="BG22" s="19"/>
      <c r="BH22" s="19"/>
      <c r="BI22" s="19"/>
      <c r="BJ22" s="19"/>
      <c r="BK22" s="19"/>
      <c r="BL22" s="19"/>
      <c r="BM22" s="18"/>
      <c r="BN22" s="18"/>
      <c r="BO22" s="18"/>
      <c r="BQ22" s="18"/>
      <c r="BR22" s="18"/>
      <c r="BS22" s="18"/>
    </row>
    <row r="23" spans="1:71" x14ac:dyDescent="0.25">
      <c r="A23" s="7">
        <v>7</v>
      </c>
      <c r="B23" s="12" t="s">
        <v>123</v>
      </c>
      <c r="C23" s="13">
        <v>26</v>
      </c>
      <c r="D23" s="17" t="s">
        <v>119</v>
      </c>
      <c r="L23" s="21"/>
      <c r="M23" s="21"/>
      <c r="N23" s="18"/>
      <c r="O23" s="18"/>
      <c r="P23" s="18"/>
      <c r="Q23" s="21"/>
      <c r="R23" s="18"/>
      <c r="S23" s="18"/>
      <c r="T23" s="18"/>
      <c r="U23" s="18"/>
      <c r="V23" s="18"/>
      <c r="W23" s="18"/>
      <c r="X23" s="18"/>
      <c r="Y23" s="18"/>
      <c r="Z23" s="18"/>
      <c r="AA23" s="18"/>
      <c r="AB23" s="18"/>
      <c r="AC23" s="18"/>
      <c r="AD23" s="18"/>
      <c r="AE23" s="45"/>
      <c r="AF23" s="18"/>
      <c r="AG23" s="18"/>
      <c r="AH23" s="18"/>
      <c r="AI23" s="18"/>
      <c r="AJ23" s="18"/>
      <c r="AK23" s="18"/>
      <c r="AL23" s="42"/>
      <c r="AM23" s="42"/>
      <c r="AN23" s="42"/>
      <c r="AO23" s="42"/>
      <c r="AP23" s="42"/>
      <c r="AQ23" s="42"/>
      <c r="AR23" s="42"/>
      <c r="AS23" s="42"/>
      <c r="AT23" s="42"/>
      <c r="AU23" s="42"/>
      <c r="AV23" s="42"/>
      <c r="AW23" s="42"/>
      <c r="AX23" s="42"/>
      <c r="AY23" s="42"/>
      <c r="AZ23" s="42"/>
      <c r="BA23" s="19"/>
      <c r="BB23" s="19"/>
      <c r="BC23" s="19"/>
      <c r="BD23" s="19"/>
      <c r="BE23" s="19"/>
      <c r="BF23" s="19"/>
      <c r="BG23" s="19"/>
      <c r="BH23" s="19"/>
      <c r="BI23" s="19"/>
      <c r="BJ23" s="19"/>
      <c r="BK23" s="19"/>
      <c r="BL23" s="19"/>
      <c r="BM23" s="18"/>
      <c r="BN23" s="18"/>
      <c r="BO23" s="18"/>
      <c r="BQ23" s="18"/>
      <c r="BR23" s="18"/>
      <c r="BS23" s="18"/>
    </row>
    <row r="24" spans="1:71" x14ac:dyDescent="0.25">
      <c r="A24" s="7">
        <v>8</v>
      </c>
      <c r="B24" s="12" t="s">
        <v>124</v>
      </c>
      <c r="C24" s="13">
        <v>27</v>
      </c>
      <c r="D24" s="17" t="s">
        <v>119</v>
      </c>
      <c r="F24" s="29" t="s">
        <v>59</v>
      </c>
      <c r="G24" s="30"/>
      <c r="H24" s="2" t="s">
        <v>61</v>
      </c>
      <c r="L24" s="21"/>
      <c r="M24" s="21"/>
      <c r="N24" s="18"/>
      <c r="O24" s="18"/>
      <c r="P24" s="18"/>
      <c r="Q24" s="21"/>
      <c r="R24" s="18"/>
      <c r="S24" s="18"/>
      <c r="T24" s="18"/>
      <c r="U24" s="18"/>
      <c r="V24" s="18"/>
      <c r="W24" s="18"/>
      <c r="X24" s="18"/>
      <c r="Y24" s="18"/>
      <c r="Z24" s="18"/>
      <c r="AA24" s="18"/>
      <c r="AB24" s="18"/>
      <c r="AC24" s="18"/>
      <c r="AD24" s="18"/>
      <c r="AE24" s="45"/>
      <c r="AF24" s="18"/>
      <c r="AG24" s="18"/>
      <c r="AH24" s="18"/>
      <c r="AI24" s="18"/>
      <c r="AJ24" s="18"/>
      <c r="AK24" s="18"/>
      <c r="AL24" s="42"/>
      <c r="AM24" s="42"/>
      <c r="AN24" s="42"/>
      <c r="AO24" s="42"/>
      <c r="AP24" s="42"/>
      <c r="AQ24" s="42"/>
      <c r="AR24" s="42"/>
      <c r="AS24" s="42"/>
      <c r="AT24" s="42"/>
      <c r="AU24" s="42"/>
      <c r="AV24" s="42"/>
      <c r="AW24" s="42"/>
      <c r="AX24" s="42"/>
      <c r="AY24" s="42"/>
      <c r="AZ24" s="42"/>
      <c r="BA24" s="19"/>
      <c r="BB24" s="19"/>
      <c r="BC24" s="19"/>
      <c r="BD24" s="19"/>
      <c r="BE24" s="19"/>
      <c r="BF24" s="19"/>
      <c r="BG24" s="19"/>
      <c r="BH24" s="19"/>
      <c r="BI24" s="19"/>
      <c r="BJ24" s="19"/>
      <c r="BK24" s="19"/>
      <c r="BL24" s="19"/>
      <c r="BM24" s="18"/>
      <c r="BN24" s="18"/>
      <c r="BO24" s="18"/>
      <c r="BQ24" s="18"/>
      <c r="BR24" s="18"/>
      <c r="BS24" s="18"/>
    </row>
    <row r="25" spans="1:71" x14ac:dyDescent="0.25">
      <c r="A25" s="7">
        <v>9</v>
      </c>
      <c r="B25" s="12" t="s">
        <v>125</v>
      </c>
      <c r="C25" s="13">
        <v>28</v>
      </c>
      <c r="D25" s="17" t="s">
        <v>128</v>
      </c>
      <c r="F25" s="29" t="s">
        <v>60</v>
      </c>
      <c r="G25" s="13"/>
      <c r="H25" s="2" t="s">
        <v>62</v>
      </c>
      <c r="L25" s="21"/>
      <c r="M25" s="21"/>
      <c r="N25" s="18"/>
      <c r="O25" s="18"/>
      <c r="P25" s="18"/>
      <c r="Q25" s="21"/>
      <c r="R25" s="18"/>
      <c r="S25" s="18"/>
      <c r="T25" s="18"/>
      <c r="U25" s="18"/>
      <c r="V25" s="18"/>
      <c r="W25" s="18"/>
      <c r="X25" s="18"/>
      <c r="Y25" s="18"/>
      <c r="Z25" s="18"/>
      <c r="AA25" s="18"/>
      <c r="AB25" s="18"/>
      <c r="AC25" s="18"/>
      <c r="AD25" s="18"/>
      <c r="AE25" s="45"/>
      <c r="AF25" s="18"/>
      <c r="AG25" s="18"/>
      <c r="AH25" s="18"/>
      <c r="AI25" s="18"/>
      <c r="AJ25" s="18"/>
      <c r="AK25" s="18"/>
      <c r="AL25" s="42"/>
      <c r="AM25" s="42"/>
      <c r="AN25" s="42"/>
      <c r="AO25" s="42"/>
      <c r="AP25" s="42"/>
      <c r="AQ25" s="42"/>
      <c r="AR25" s="42"/>
      <c r="AS25" s="42"/>
      <c r="AT25" s="42"/>
      <c r="AU25" s="42"/>
      <c r="AV25" s="42"/>
      <c r="AW25" s="42"/>
      <c r="AX25" s="42"/>
      <c r="AY25" s="42"/>
      <c r="AZ25" s="42"/>
      <c r="BA25" s="19"/>
      <c r="BB25" s="19"/>
      <c r="BC25" s="19"/>
      <c r="BD25" s="19"/>
      <c r="BE25" s="19"/>
      <c r="BF25" s="19"/>
      <c r="BG25" s="19"/>
      <c r="BH25" s="19"/>
      <c r="BI25" s="19"/>
      <c r="BJ25" s="19"/>
      <c r="BK25" s="19"/>
      <c r="BL25" s="19"/>
      <c r="BM25" s="18"/>
      <c r="BN25" s="18"/>
      <c r="BO25" s="18"/>
      <c r="BQ25" s="18"/>
      <c r="BR25" s="18"/>
      <c r="BS25" s="18"/>
    </row>
    <row r="26" spans="1:71" x14ac:dyDescent="0.25">
      <c r="A26" s="7">
        <v>10</v>
      </c>
      <c r="B26" s="12" t="s">
        <v>126</v>
      </c>
      <c r="C26" s="13">
        <v>30</v>
      </c>
      <c r="D26" s="17" t="s">
        <v>129</v>
      </c>
      <c r="L26" s="21"/>
      <c r="M26" s="21"/>
      <c r="N26" s="18"/>
      <c r="O26" s="18"/>
      <c r="P26" s="18"/>
      <c r="Q26" s="21"/>
      <c r="R26" s="18"/>
      <c r="S26" s="18"/>
      <c r="T26" s="18"/>
      <c r="U26" s="18"/>
      <c r="V26" s="18"/>
      <c r="W26" s="18"/>
      <c r="X26" s="18"/>
      <c r="Y26" s="18"/>
      <c r="Z26" s="18"/>
      <c r="AA26" s="18"/>
      <c r="AB26" s="18"/>
      <c r="AC26" s="18"/>
      <c r="AD26" s="18"/>
      <c r="AE26" s="45"/>
      <c r="AF26" s="18"/>
      <c r="AG26" s="18"/>
      <c r="AH26" s="18"/>
      <c r="AI26" s="18"/>
      <c r="AJ26" s="18"/>
      <c r="AK26" s="18"/>
      <c r="AL26" s="42"/>
      <c r="AM26" s="42"/>
      <c r="AN26" s="42"/>
      <c r="AO26" s="42"/>
      <c r="AP26" s="42"/>
      <c r="AQ26" s="42"/>
      <c r="AR26" s="42"/>
      <c r="AS26" s="42"/>
      <c r="AT26" s="42"/>
      <c r="AU26" s="42"/>
      <c r="AV26" s="42"/>
      <c r="AW26" s="42"/>
      <c r="AX26" s="42"/>
      <c r="AY26" s="42"/>
      <c r="AZ26" s="42"/>
      <c r="BA26" s="19"/>
      <c r="BB26" s="19"/>
      <c r="BC26" s="19"/>
      <c r="BD26" s="19"/>
      <c r="BE26" s="19"/>
      <c r="BF26" s="19"/>
      <c r="BG26" s="19"/>
      <c r="BH26" s="19"/>
      <c r="BI26" s="19"/>
      <c r="BJ26" s="19"/>
      <c r="BK26" s="19"/>
      <c r="BL26" s="19"/>
      <c r="BM26" s="18"/>
      <c r="BN26" s="18"/>
      <c r="BO26" s="18"/>
      <c r="BQ26" s="18"/>
      <c r="BR26" s="18"/>
      <c r="BS26" s="18"/>
    </row>
    <row r="27" spans="1:71" x14ac:dyDescent="0.25">
      <c r="A27" s="7">
        <v>11</v>
      </c>
      <c r="B27" s="12" t="s">
        <v>130</v>
      </c>
      <c r="C27" s="13">
        <v>32</v>
      </c>
      <c r="D27" s="17" t="s">
        <v>131</v>
      </c>
      <c r="L27" s="21"/>
      <c r="M27" s="21"/>
      <c r="N27" s="18"/>
      <c r="O27" s="18"/>
      <c r="P27" s="18"/>
      <c r="Q27" s="21"/>
      <c r="R27" s="18"/>
      <c r="S27" s="18"/>
      <c r="T27" s="18"/>
      <c r="U27" s="18"/>
      <c r="V27" s="18"/>
      <c r="W27" s="18"/>
      <c r="X27" s="18"/>
      <c r="Y27" s="18"/>
      <c r="Z27" s="18"/>
      <c r="AA27" s="18"/>
      <c r="AB27" s="18"/>
      <c r="AC27" s="18"/>
      <c r="AD27" s="18"/>
      <c r="AE27" s="45"/>
      <c r="AF27" s="18"/>
      <c r="AG27" s="18"/>
      <c r="AH27" s="18"/>
      <c r="AI27" s="18"/>
      <c r="AJ27" s="18"/>
      <c r="AK27" s="18"/>
      <c r="AL27" s="42"/>
      <c r="AM27" s="42"/>
      <c r="AN27" s="42"/>
      <c r="AO27" s="42"/>
      <c r="AP27" s="42"/>
      <c r="AQ27" s="42"/>
      <c r="AR27" s="42"/>
      <c r="AS27" s="42"/>
      <c r="AT27" s="42"/>
      <c r="AU27" s="42"/>
      <c r="AV27" s="42"/>
      <c r="AW27" s="42"/>
      <c r="AX27" s="42"/>
      <c r="AY27" s="42"/>
      <c r="AZ27" s="42"/>
      <c r="BA27" s="19"/>
      <c r="BB27" s="19"/>
      <c r="BC27" s="19"/>
      <c r="BD27" s="19"/>
      <c r="BE27" s="19"/>
      <c r="BF27" s="19"/>
      <c r="BG27" s="19"/>
      <c r="BH27" s="19"/>
      <c r="BI27" s="19"/>
      <c r="BJ27" s="19"/>
      <c r="BK27" s="19"/>
      <c r="BL27" s="19"/>
      <c r="BM27" s="18"/>
      <c r="BN27" s="18"/>
      <c r="BO27" s="18"/>
      <c r="BQ27" s="18"/>
      <c r="BR27" s="18"/>
      <c r="BS27" s="18"/>
    </row>
    <row r="28" spans="1:71" x14ac:dyDescent="0.25">
      <c r="A28" s="7">
        <v>12</v>
      </c>
      <c r="B28" s="12" t="s">
        <v>133</v>
      </c>
      <c r="C28" s="13">
        <v>33</v>
      </c>
      <c r="D28" s="17" t="s">
        <v>47</v>
      </c>
      <c r="L28" s="21"/>
      <c r="M28" s="21"/>
      <c r="N28" s="18"/>
      <c r="O28" s="18"/>
      <c r="P28" s="18"/>
      <c r="Q28" s="21"/>
      <c r="R28" s="18"/>
      <c r="S28" s="18"/>
      <c r="T28" s="18"/>
      <c r="U28" s="18"/>
      <c r="V28" s="18"/>
      <c r="W28" s="18"/>
      <c r="X28" s="18"/>
      <c r="Y28" s="18"/>
      <c r="Z28" s="18"/>
      <c r="AA28" s="18"/>
      <c r="AB28" s="18"/>
      <c r="AC28" s="18"/>
      <c r="AD28" s="18"/>
      <c r="AE28" s="45"/>
      <c r="AF28" s="18"/>
      <c r="AG28" s="18"/>
      <c r="AH28" s="18"/>
      <c r="AI28" s="18"/>
      <c r="AJ28" s="18"/>
      <c r="AK28" s="18"/>
      <c r="AL28" s="42"/>
      <c r="AM28" s="42"/>
      <c r="AN28" s="42"/>
      <c r="AO28" s="42"/>
      <c r="AP28" s="42"/>
      <c r="AQ28" s="42"/>
      <c r="AR28" s="42"/>
      <c r="AS28" s="42"/>
      <c r="AT28" s="42"/>
      <c r="AU28" s="42"/>
      <c r="AV28" s="42"/>
      <c r="AW28" s="42"/>
      <c r="AX28" s="42"/>
      <c r="AY28" s="42"/>
      <c r="AZ28" s="42"/>
      <c r="BA28" s="19"/>
      <c r="BB28" s="19"/>
      <c r="BC28" s="19"/>
      <c r="BD28" s="19"/>
      <c r="BE28" s="19"/>
      <c r="BF28" s="19"/>
      <c r="BG28" s="19"/>
      <c r="BH28" s="19"/>
      <c r="BI28" s="19"/>
      <c r="BJ28" s="19"/>
      <c r="BK28" s="19"/>
      <c r="BL28" s="19"/>
      <c r="BM28" s="18"/>
      <c r="BN28" s="18"/>
      <c r="BO28" s="18"/>
      <c r="BQ28" s="18"/>
      <c r="BR28" s="18"/>
      <c r="BS28" s="18"/>
    </row>
    <row r="29" spans="1:71" x14ac:dyDescent="0.25">
      <c r="A29" s="7">
        <v>13</v>
      </c>
      <c r="B29" s="12" t="s">
        <v>132</v>
      </c>
      <c r="C29" s="13">
        <v>34</v>
      </c>
      <c r="D29" s="17" t="s">
        <v>134</v>
      </c>
      <c r="P29" s="4"/>
      <c r="Q29" s="4"/>
      <c r="R29" s="4"/>
      <c r="S29" s="4"/>
      <c r="T29" s="4"/>
      <c r="U29" s="4"/>
      <c r="V29" s="4"/>
      <c r="W29" s="4"/>
      <c r="X29" s="4"/>
      <c r="Y29" s="4"/>
      <c r="Z29" s="4"/>
      <c r="AA29" s="4"/>
      <c r="AB29" s="4"/>
      <c r="AC29" s="4"/>
      <c r="AD29" s="4"/>
      <c r="AF29" s="4"/>
    </row>
    <row r="30" spans="1:71" x14ac:dyDescent="0.25">
      <c r="A30" s="7">
        <v>14</v>
      </c>
      <c r="B30" s="12" t="s">
        <v>137</v>
      </c>
      <c r="C30" s="13">
        <v>38</v>
      </c>
      <c r="D30" s="17" t="s">
        <v>138</v>
      </c>
      <c r="P30" s="4"/>
      <c r="Q30" s="4"/>
      <c r="R30" s="4"/>
      <c r="S30" s="4"/>
      <c r="T30" s="4"/>
      <c r="U30" s="4"/>
      <c r="V30" s="4"/>
      <c r="W30" s="4"/>
      <c r="X30" s="4"/>
      <c r="Y30" s="4"/>
      <c r="Z30" s="4"/>
      <c r="AA30" s="4"/>
      <c r="AB30" s="4"/>
      <c r="AC30" s="4"/>
      <c r="AD30" s="4"/>
      <c r="AF30" s="4"/>
    </row>
    <row r="31" spans="1:71" x14ac:dyDescent="0.25">
      <c r="A31" s="7">
        <v>15</v>
      </c>
      <c r="B31" s="12" t="s">
        <v>139</v>
      </c>
      <c r="C31" s="13">
        <v>40</v>
      </c>
      <c r="D31" s="17" t="s">
        <v>39</v>
      </c>
      <c r="P31" s="4"/>
      <c r="Q31" s="4"/>
      <c r="R31" s="4"/>
      <c r="S31" s="4"/>
      <c r="T31" s="4"/>
      <c r="U31" s="4"/>
      <c r="V31" s="4"/>
      <c r="W31" s="4"/>
      <c r="X31" s="4"/>
      <c r="Y31" s="4"/>
      <c r="Z31" s="4"/>
      <c r="AA31" s="4"/>
      <c r="AB31" s="4"/>
      <c r="AC31" s="4"/>
      <c r="AD31" s="4"/>
      <c r="AF31" s="4"/>
    </row>
    <row ht="15.75" r="32" spans="1:71" thickBot="1" x14ac:dyDescent="0.3">
      <c r="A32" s="7">
        <v>16</v>
      </c>
      <c r="B32" s="12" t="s">
        <v>140</v>
      </c>
      <c r="C32" s="13">
        <v>41</v>
      </c>
      <c r="D32" s="17" t="s">
        <v>142</v>
      </c>
      <c r="G32" s="36">
        <v>1451000136</v>
      </c>
      <c r="H32" s="37" t="s">
        <v>75</v>
      </c>
      <c r="P32" s="4"/>
      <c r="Q32" s="4"/>
      <c r="R32" s="4"/>
      <c r="S32" s="4"/>
      <c r="T32" s="4"/>
      <c r="U32" s="4"/>
      <c r="V32" s="4"/>
      <c r="W32" s="4"/>
      <c r="X32" s="4"/>
      <c r="Y32" s="4"/>
      <c r="Z32" s="4"/>
      <c r="AA32" s="4"/>
      <c r="AB32" s="4"/>
      <c r="AC32" s="4"/>
      <c r="AD32" s="4"/>
      <c r="AF32" s="4"/>
    </row>
    <row ht="15.75" r="33" spans="1:32" thickBot="1" x14ac:dyDescent="0.3">
      <c r="A33" s="7">
        <v>17</v>
      </c>
      <c r="B33" s="12" t="s">
        <v>141</v>
      </c>
      <c r="C33" s="13">
        <v>42</v>
      </c>
      <c r="D33" s="17" t="s">
        <v>143</v>
      </c>
      <c r="G33" s="36">
        <v>1330180077</v>
      </c>
      <c r="H33" s="37" t="s">
        <v>76</v>
      </c>
      <c r="P33" s="4"/>
      <c r="Q33" s="4"/>
      <c r="R33" s="4"/>
      <c r="S33" s="4"/>
      <c r="T33" s="4"/>
      <c r="U33" s="4"/>
      <c r="V33" s="4"/>
      <c r="W33" s="4"/>
      <c r="X33" s="4"/>
      <c r="Y33" s="4"/>
      <c r="Z33" s="4"/>
      <c r="AA33" s="4"/>
      <c r="AB33" s="4"/>
      <c r="AC33" s="4"/>
      <c r="AD33" s="4"/>
      <c r="AF33" s="4"/>
    </row>
    <row ht="15.75" r="34" spans="1:32" thickBot="1" x14ac:dyDescent="0.3">
      <c r="A34" s="7">
        <v>18</v>
      </c>
      <c r="B34" s="12" t="s">
        <v>144</v>
      </c>
      <c r="C34" s="13">
        <v>43</v>
      </c>
      <c r="D34" s="17" t="s">
        <v>38</v>
      </c>
      <c r="G34" s="36">
        <v>1330180074</v>
      </c>
      <c r="H34" s="37">
        <f>22</f>
        <v>22</v>
      </c>
      <c r="P34" s="4"/>
      <c r="Q34" s="4"/>
      <c r="R34" s="4"/>
      <c r="S34" s="4"/>
      <c r="T34" s="4"/>
      <c r="U34" s="4"/>
      <c r="V34" s="4"/>
      <c r="W34" s="4"/>
      <c r="X34" s="4"/>
      <c r="Y34" s="4"/>
      <c r="Z34" s="4"/>
      <c r="AA34" s="4"/>
      <c r="AB34" s="4"/>
      <c r="AC34" s="4"/>
      <c r="AD34" s="4"/>
      <c r="AF34" s="4"/>
    </row>
    <row ht="15.75" r="35" spans="1:32" thickBot="1" x14ac:dyDescent="0.3">
      <c r="A35" s="7">
        <v>19</v>
      </c>
      <c r="B35" s="12"/>
      <c r="C35" s="12"/>
      <c r="D35" s="12"/>
      <c r="G35" s="36">
        <v>1330180030</v>
      </c>
      <c r="H35" s="37">
        <f>1500</f>
        <v>1500</v>
      </c>
      <c r="P35" s="4"/>
      <c r="Q35" s="4"/>
      <c r="R35" s="4"/>
      <c r="S35" s="4"/>
      <c r="T35" s="4"/>
      <c r="U35" s="4"/>
      <c r="V35" s="4"/>
      <c r="W35" s="4"/>
      <c r="X35" s="4"/>
      <c r="Y35" s="4"/>
      <c r="Z35" s="4"/>
      <c r="AA35" s="4"/>
      <c r="AB35" s="4"/>
      <c r="AC35" s="4"/>
      <c r="AD35" s="4"/>
      <c r="AF35" s="4"/>
    </row>
    <row ht="15.75" r="36" spans="1:32" thickBot="1" x14ac:dyDescent="0.3">
      <c r="A36" s="7">
        <v>20</v>
      </c>
      <c r="B36" s="12"/>
      <c r="C36" s="12"/>
      <c r="D36" s="12"/>
      <c r="G36" s="36">
        <v>1330170084</v>
      </c>
      <c r="H36" s="37" t="s">
        <v>77</v>
      </c>
      <c r="P36" s="4"/>
      <c r="Q36" s="4"/>
      <c r="R36" s="4"/>
      <c r="S36" s="4"/>
      <c r="T36" s="4"/>
      <c r="U36" s="4"/>
      <c r="V36" s="4"/>
      <c r="W36" s="4"/>
      <c r="X36" s="4"/>
      <c r="Y36" s="4"/>
      <c r="Z36" s="4"/>
      <c r="AA36" s="4"/>
      <c r="AB36" s="4"/>
      <c r="AC36" s="4"/>
      <c r="AD36" s="4"/>
      <c r="AF36" s="4"/>
    </row>
    <row ht="15.75" r="37" spans="1:32" thickBot="1" x14ac:dyDescent="0.3">
      <c r="A37" s="7">
        <v>21</v>
      </c>
      <c r="B37" s="12"/>
      <c r="C37" s="13"/>
      <c r="D37" s="12"/>
      <c r="G37" s="36">
        <v>1330170085</v>
      </c>
      <c r="H37" s="37" t="s">
        <v>78</v>
      </c>
      <c r="P37" s="4"/>
      <c r="Q37" s="4"/>
      <c r="R37" s="4"/>
      <c r="S37" s="4"/>
      <c r="T37" s="4"/>
      <c r="U37" s="4"/>
      <c r="V37" s="4"/>
      <c r="W37" s="4"/>
      <c r="X37" s="4"/>
      <c r="Y37" s="4"/>
      <c r="Z37" s="4"/>
      <c r="AA37" s="4"/>
      <c r="AB37" s="4"/>
      <c r="AC37" s="4"/>
      <c r="AD37" s="4"/>
      <c r="AF37" s="4"/>
    </row>
    <row ht="15.75" r="38" spans="1:32" thickBot="1" x14ac:dyDescent="0.3">
      <c r="A38" s="7">
        <v>22</v>
      </c>
      <c r="B38" s="12"/>
      <c r="C38" s="13"/>
      <c r="D38" s="12"/>
      <c r="G38" s="36">
        <v>1330180025</v>
      </c>
      <c r="H38" s="38" t="s">
        <v>79</v>
      </c>
      <c r="P38" s="4"/>
      <c r="Q38" s="4"/>
      <c r="R38" s="4"/>
      <c r="S38" s="4"/>
      <c r="T38" s="4"/>
      <c r="U38" s="4"/>
      <c r="V38" s="4"/>
      <c r="W38" s="4"/>
      <c r="X38" s="4"/>
      <c r="Y38" s="4"/>
      <c r="Z38" s="4"/>
      <c r="AA38" s="4"/>
      <c r="AB38" s="4"/>
      <c r="AC38" s="4"/>
      <c r="AD38" s="4"/>
      <c r="AF38" s="4"/>
    </row>
    <row ht="15.75" r="39" spans="1:32" thickBot="1" x14ac:dyDescent="0.3">
      <c r="A39" s="7">
        <v>23</v>
      </c>
      <c r="B39" s="12"/>
      <c r="C39" s="13"/>
      <c r="D39" s="12"/>
      <c r="G39" s="36">
        <v>1330180028</v>
      </c>
      <c r="H39" s="38">
        <f>190</f>
        <v>190</v>
      </c>
      <c r="P39" s="4"/>
      <c r="Q39" s="4"/>
      <c r="R39" s="4"/>
      <c r="S39" s="4"/>
      <c r="T39" s="4"/>
      <c r="U39" s="4"/>
      <c r="V39" s="4"/>
      <c r="W39" s="4"/>
      <c r="X39" s="4"/>
      <c r="Y39" s="4"/>
      <c r="Z39" s="4"/>
      <c r="AA39" s="4"/>
      <c r="AB39" s="4"/>
      <c r="AC39" s="4"/>
      <c r="AD39" s="4"/>
      <c r="AF39" s="4"/>
    </row>
    <row ht="15.75" r="40" spans="1:32" thickBot="1" x14ac:dyDescent="0.3">
      <c r="A40" s="7">
        <v>24</v>
      </c>
      <c r="B40" s="12"/>
      <c r="C40" s="13"/>
      <c r="D40" s="12"/>
      <c r="G40" s="36">
        <v>1330180068</v>
      </c>
      <c r="H40" s="38" t="s">
        <v>80</v>
      </c>
      <c r="P40" s="4"/>
      <c r="Q40" s="4"/>
      <c r="R40" s="4"/>
      <c r="S40" s="4"/>
      <c r="T40" s="4"/>
      <c r="U40" s="4"/>
      <c r="V40" s="4"/>
      <c r="W40" s="4"/>
      <c r="X40" s="4"/>
      <c r="Y40" s="4"/>
      <c r="Z40" s="4"/>
      <c r="AA40" s="4"/>
      <c r="AB40" s="4"/>
      <c r="AC40" s="4"/>
      <c r="AD40" s="4"/>
      <c r="AF40" s="4"/>
    </row>
    <row r="41" spans="1:32" x14ac:dyDescent="0.25">
      <c r="A41" s="7">
        <v>25</v>
      </c>
      <c r="B41" s="12"/>
      <c r="C41" s="13"/>
      <c r="D41" s="12"/>
      <c r="P41" s="4"/>
      <c r="Q41" s="4"/>
      <c r="R41" s="4"/>
      <c r="S41" s="4"/>
      <c r="T41" s="4"/>
      <c r="U41" s="4"/>
      <c r="V41" s="4"/>
      <c r="W41" s="4"/>
      <c r="X41" s="4"/>
      <c r="Y41" s="4"/>
      <c r="Z41" s="4"/>
      <c r="AA41" s="4"/>
      <c r="AB41" s="4"/>
      <c r="AC41" s="4"/>
      <c r="AD41" s="4"/>
      <c r="AF41" s="4"/>
    </row>
    <row r="42" spans="1:32" x14ac:dyDescent="0.25">
      <c r="A42" s="7">
        <v>26</v>
      </c>
      <c r="B42" s="12"/>
      <c r="C42" s="13"/>
      <c r="D42" s="12"/>
      <c r="P42" s="4"/>
      <c r="Q42" s="4"/>
      <c r="R42" s="4"/>
      <c r="S42" s="4"/>
      <c r="T42" s="4"/>
      <c r="U42" s="4"/>
      <c r="V42" s="4"/>
      <c r="W42" s="4"/>
      <c r="X42" s="4"/>
      <c r="Y42" s="4"/>
      <c r="Z42" s="4"/>
      <c r="AA42" s="4"/>
      <c r="AB42" s="4"/>
      <c r="AC42" s="4"/>
      <c r="AD42" s="4"/>
      <c r="AF42" s="4"/>
    </row>
    <row r="43" spans="1:32" x14ac:dyDescent="0.25">
      <c r="A43" s="7">
        <v>27</v>
      </c>
      <c r="B43" s="12"/>
      <c r="C43" s="13"/>
      <c r="D43" s="12"/>
      <c r="P43" s="4"/>
      <c r="Q43" s="4"/>
      <c r="R43" s="4"/>
      <c r="S43" s="4"/>
      <c r="T43" s="4"/>
      <c r="U43" s="4"/>
      <c r="V43" s="4"/>
      <c r="W43" s="4"/>
      <c r="X43" s="4"/>
      <c r="Y43" s="4"/>
      <c r="Z43" s="4"/>
      <c r="AA43" s="4"/>
      <c r="AB43" s="4"/>
      <c r="AC43" s="4"/>
      <c r="AD43" s="4"/>
      <c r="AF43" s="4"/>
    </row>
    <row r="44" spans="1:32" x14ac:dyDescent="0.25">
      <c r="A44" s="7">
        <v>28</v>
      </c>
      <c r="B44" s="12"/>
      <c r="C44" s="13"/>
      <c r="D44" s="12"/>
      <c r="P44" s="4"/>
      <c r="Q44" s="4"/>
      <c r="R44" s="4"/>
      <c r="S44" s="4"/>
      <c r="T44" s="4"/>
      <c r="U44" s="4"/>
      <c r="V44" s="4"/>
      <c r="W44" s="4"/>
      <c r="X44" s="4"/>
      <c r="Y44" s="4"/>
      <c r="Z44" s="4"/>
      <c r="AA44" s="4"/>
      <c r="AB44" s="4"/>
      <c r="AC44" s="4"/>
      <c r="AD44" s="4"/>
      <c r="AF44" s="4"/>
    </row>
    <row r="45" spans="1:32" x14ac:dyDescent="0.25">
      <c r="A45" s="7">
        <v>29</v>
      </c>
      <c r="B45" s="12"/>
      <c r="C45" s="13"/>
      <c r="D45" s="12"/>
      <c r="P45" s="4"/>
      <c r="Q45" s="4"/>
      <c r="R45" s="4"/>
      <c r="S45" s="4"/>
      <c r="T45" s="4"/>
      <c r="U45" s="4"/>
      <c r="V45" s="4"/>
      <c r="W45" s="4"/>
      <c r="X45" s="4"/>
      <c r="Y45" s="4"/>
      <c r="Z45" s="4"/>
      <c r="AA45" s="4"/>
      <c r="AB45" s="4"/>
      <c r="AC45" s="4"/>
      <c r="AD45" s="4"/>
      <c r="AF45" s="4"/>
    </row>
    <row r="46" spans="1:32" x14ac:dyDescent="0.25">
      <c r="A46" s="7">
        <v>30</v>
      </c>
      <c r="B46" s="12"/>
      <c r="C46" s="13"/>
      <c r="D46" s="12"/>
      <c r="P46" s="4"/>
      <c r="Q46" s="4"/>
      <c r="R46" s="4"/>
      <c r="S46" s="4"/>
      <c r="T46" s="4"/>
      <c r="U46" s="4"/>
      <c r="V46" s="4"/>
      <c r="W46" s="4"/>
      <c r="X46" s="4"/>
      <c r="Y46" s="4"/>
      <c r="Z46" s="4"/>
      <c r="AA46" s="4"/>
      <c r="AB46" s="4"/>
      <c r="AC46" s="4"/>
      <c r="AD46" s="4"/>
      <c r="AF46" s="4"/>
    </row>
    <row r="47" spans="1:32" x14ac:dyDescent="0.25">
      <c r="A47" s="7">
        <v>31</v>
      </c>
      <c r="B47" s="12"/>
      <c r="C47" s="13"/>
      <c r="D47" s="12"/>
    </row>
    <row r="48" spans="1:32" x14ac:dyDescent="0.25">
      <c r="A48" s="7">
        <v>32</v>
      </c>
      <c r="B48" s="12"/>
      <c r="C48" s="13"/>
      <c r="D48" s="12"/>
    </row>
    <row r="49" spans="1:4" x14ac:dyDescent="0.25">
      <c r="A49" s="7">
        <v>33</v>
      </c>
      <c r="B49" s="12"/>
      <c r="C49" s="13"/>
      <c r="D49" s="12"/>
    </row>
    <row r="50" spans="1:4" x14ac:dyDescent="0.25">
      <c r="A50" s="7">
        <v>34</v>
      </c>
      <c r="B50" s="12"/>
      <c r="C50" s="13"/>
      <c r="D50" s="12"/>
    </row>
    <row r="51" spans="1:4" x14ac:dyDescent="0.25">
      <c r="A51" s="7">
        <v>35</v>
      </c>
      <c r="B51" s="12"/>
      <c r="C51" s="13"/>
      <c r="D51" s="12"/>
    </row>
    <row r="52" spans="1:4" x14ac:dyDescent="0.25">
      <c r="A52" s="7">
        <v>36</v>
      </c>
      <c r="B52" s="12"/>
      <c r="C52" s="13"/>
      <c r="D52" s="12"/>
    </row>
    <row r="53" spans="1:4" x14ac:dyDescent="0.25">
      <c r="A53" s="7">
        <v>37</v>
      </c>
      <c r="B53" s="12"/>
      <c r="C53" s="13"/>
      <c r="D53" s="12"/>
    </row>
    <row r="54" spans="1:4" x14ac:dyDescent="0.25">
      <c r="A54" s="7">
        <v>38</v>
      </c>
      <c r="B54" s="12"/>
      <c r="C54" s="13"/>
      <c r="D54" s="12"/>
    </row>
    <row r="55" spans="1:4" x14ac:dyDescent="0.25">
      <c r="A55" s="7">
        <v>39</v>
      </c>
      <c r="B55" s="12"/>
      <c r="C55" s="13"/>
      <c r="D55" s="12"/>
    </row>
    <row r="56" spans="1:4" x14ac:dyDescent="0.25">
      <c r="A56" s="7">
        <v>40</v>
      </c>
      <c r="B56" s="12"/>
      <c r="C56" s="13"/>
      <c r="D56" s="12"/>
    </row>
    <row r="57" spans="1:4" x14ac:dyDescent="0.25">
      <c r="A57" s="7">
        <v>41</v>
      </c>
      <c r="B57" s="12"/>
      <c r="C57" s="13"/>
      <c r="D57" s="12"/>
    </row>
    <row r="58" spans="1:4" x14ac:dyDescent="0.25">
      <c r="A58" s="7">
        <v>42</v>
      </c>
      <c r="B58" s="12"/>
      <c r="C58" s="13"/>
      <c r="D58" s="12"/>
    </row>
    <row r="59" spans="1:4" x14ac:dyDescent="0.25">
      <c r="A59" s="7">
        <v>43</v>
      </c>
      <c r="B59" s="12"/>
      <c r="C59" s="13"/>
      <c r="D59" s="12"/>
    </row>
    <row r="60" spans="1:4" x14ac:dyDescent="0.25">
      <c r="A60" s="7">
        <v>44</v>
      </c>
      <c r="B60" s="12"/>
      <c r="C60" s="13"/>
      <c r="D60" s="12"/>
    </row>
    <row r="61" spans="1:4" x14ac:dyDescent="0.25">
      <c r="A61" s="7">
        <v>45</v>
      </c>
      <c r="B61" s="12"/>
      <c r="C61" s="13"/>
      <c r="D61" s="12"/>
    </row>
    <row r="62" spans="1:4" x14ac:dyDescent="0.25">
      <c r="A62" s="7">
        <v>46</v>
      </c>
      <c r="B62" s="12"/>
      <c r="C62" s="13"/>
      <c r="D62" s="12"/>
    </row>
    <row r="63" spans="1:4" x14ac:dyDescent="0.25">
      <c r="A63" s="7">
        <v>47</v>
      </c>
      <c r="B63" s="12"/>
      <c r="C63" s="13"/>
      <c r="D63" s="12"/>
    </row>
    <row r="64" spans="1:4" x14ac:dyDescent="0.25">
      <c r="A64" s="7">
        <v>48</v>
      </c>
      <c r="B64" s="12"/>
      <c r="C64" s="13"/>
      <c r="D64" s="12"/>
    </row>
    <row r="65" spans="1:66" x14ac:dyDescent="0.25">
      <c r="A65" s="7">
        <v>49</v>
      </c>
      <c r="B65" s="12"/>
      <c r="C65" s="13"/>
      <c r="D65" s="12"/>
    </row>
    <row r="66" spans="1:66" x14ac:dyDescent="0.25">
      <c r="A66" s="7">
        <v>50</v>
      </c>
      <c r="B66" s="12"/>
      <c r="C66" s="13"/>
      <c r="D66" s="12"/>
      <c r="BN66" t="s">
        <v>190</v>
      </c>
    </row>
    <row r="69" spans="1:66" x14ac:dyDescent="0.25">
      <c r="A69" s="7" t="s">
        <v>0</v>
      </c>
      <c r="B69" s="7" t="s">
        <v>1</v>
      </c>
    </row>
    <row r="70" spans="1:66" x14ac:dyDescent="0.25">
      <c r="A70" s="23" t="s">
        <v>87</v>
      </c>
      <c r="B70" s="24" t="s">
        <v>89</v>
      </c>
    </row>
    <row r="71" spans="1:66" x14ac:dyDescent="0.25">
      <c r="A71" s="23" t="s">
        <v>88</v>
      </c>
      <c r="B71" s="40" t="s">
        <v>90</v>
      </c>
    </row>
    <row r="72" spans="1:66" x14ac:dyDescent="0.25">
      <c r="A72" s="23"/>
      <c r="B72" s="40" t="s">
        <v>86</v>
      </c>
    </row>
    <row r="73" spans="1:66" x14ac:dyDescent="0.25">
      <c r="A73" s="23"/>
      <c r="B73" s="40" t="s">
        <v>91</v>
      </c>
    </row>
    <row r="74" spans="1:66" x14ac:dyDescent="0.25">
      <c r="A74" s="23"/>
      <c r="B74" s="24" t="s">
        <v>89</v>
      </c>
    </row>
    <row r="75" spans="1:66" x14ac:dyDescent="0.25">
      <c r="A75" s="23"/>
      <c r="B75" s="24" t="s">
        <v>90</v>
      </c>
    </row>
    <row r="76" spans="1:66" x14ac:dyDescent="0.25">
      <c r="A76" s="23"/>
      <c r="B76" s="24" t="s">
        <v>86</v>
      </c>
    </row>
    <row r="77" spans="1:66" x14ac:dyDescent="0.25">
      <c r="A77" s="23"/>
      <c r="B77" s="24"/>
    </row>
    <row r="78" spans="1:66" x14ac:dyDescent="0.25">
      <c r="A78" s="23"/>
      <c r="B78" s="24"/>
    </row>
    <row r="79" spans="1:66" x14ac:dyDescent="0.25">
      <c r="A79" s="23"/>
      <c r="B79" s="24"/>
    </row>
  </sheetData>
  <mergeCells count="2">
    <mergeCell ref="B15:D15"/>
    <mergeCell ref="B1:F1"/>
  </mergeCells>
  <pageMargins bottom="0.75" footer="0.3" header="0.3" left="0.7" right="0.7" top="0.75"/>
  <pageSetup horizontalDpi="200" orientation="portrait" r:id="rId1" verticalDpi="200"/>
  <drawing r:id="rId2"/>
  <legacyDrawing r:id="rId3"/>
  <mc:AlternateContent>
    <mc:Choice Requires="x14">
      <controls>
        <mc:AlternateContent>
          <mc:Choice Requires="x14">
            <control name="Button 15" r:id="rId4" shapeId="2063">
              <controlPr autoFill="0" autoPict="0" defaultSize="0" macro="[0]!PopulateData" print="0">
                <anchor moveWithCells="1">
                  <from>
                    <xdr:col>5</xdr:col>
                    <xdr:colOff>0</xdr:colOff>
                    <xdr:row>18</xdr:row>
                    <xdr:rowOff>0</xdr:rowOff>
                  </from>
                  <to>
                    <xdr:col>7</xdr:col>
                    <xdr:colOff>9525</xdr:colOff>
                    <xdr:row>19</xdr:row>
                    <xdr:rowOff>47625</xdr:rowOff>
                  </to>
                </anchor>
              </controlPr>
            </control>
          </mc:Choice>
        </mc:AlternateContent>
        <mc:AlternateContent>
          <mc:Choice Requires="x14">
            <control name="Button 21" r:id="rId5" shapeId="2069">
              <controlPr autoFill="0" autoPict="0" defaultSize="0" macro="[0]!ImportData" print="0">
                <anchor moveWithCells="1">
                  <from>
                    <xdr:col>5</xdr:col>
                    <xdr:colOff>0</xdr:colOff>
                    <xdr:row>21</xdr:row>
                    <xdr:rowOff>0</xdr:rowOff>
                  </from>
                  <to>
                    <xdr:col>7</xdr:col>
                    <xdr:colOff>9525</xdr:colOff>
                    <xdr:row>22</xdr:row>
                    <xdr:rowOff>47625</xdr:rowOff>
                  </to>
                </anchor>
              </controlPr>
            </control>
          </mc:Choice>
        </mc:AlternateContent>
      </controls>
    </mc:Choice>
  </mc:AlternateConten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AU1002"/>
  <sheetViews>
    <sheetView workbookViewId="0">
      <selection activeCell="I9" sqref="I9"/>
    </sheetView>
  </sheetViews>
  <sheetFormatPr defaultRowHeight="15" x14ac:dyDescent="0.25"/>
  <cols>
    <col min="1" max="1" bestFit="true" customWidth="true" width="11.0" collapsed="true"/>
    <col min="2" max="2" customWidth="true" width="7.0" collapsed="true"/>
    <col min="3" max="3" bestFit="true" customWidth="true" width="5.0" collapsed="true"/>
    <col min="4" max="4" bestFit="true" customWidth="true" width="13.140625" collapsed="true"/>
    <col min="5" max="5" bestFit="true" customWidth="true" width="4.140625" collapsed="true"/>
    <col min="6" max="6" bestFit="true" customWidth="true" width="5.85546875" collapsed="true"/>
    <col min="7" max="7" bestFit="true" customWidth="true" width="17.28515625" collapsed="true"/>
    <col min="8" max="8" bestFit="true" customWidth="true" width="8.140625" collapsed="true"/>
    <col min="9" max="10" bestFit="true" customWidth="true" width="9.0" collapsed="true"/>
    <col min="11" max="11" bestFit="true" customWidth="true" width="10.7109375" collapsed="true"/>
    <col min="12" max="12" customWidth="true" width="14.5703125" collapsed="true"/>
    <col min="13" max="13" bestFit="true" customWidth="true" width="17.28515625" collapsed="true"/>
    <col min="14" max="14" bestFit="true" customWidth="true" width="5.0" collapsed="true"/>
    <col min="15" max="15" bestFit="true" customWidth="true" width="3.0" collapsed="true"/>
    <col min="16" max="16" bestFit="true" customWidth="true" width="9.0" collapsed="true"/>
    <col min="17" max="18" bestFit="true" customWidth="true" width="3.0" collapsed="true"/>
    <col min="19" max="19" bestFit="true" customWidth="true" width="4.0" collapsed="true"/>
    <col min="20" max="20" customWidth="true" width="14.42578125" collapsed="true"/>
    <col min="23" max="23" bestFit="true" customWidth="true" width="12.7109375" collapsed="true"/>
    <col min="24" max="24" customWidth="true" width="21.5703125" collapsed="true"/>
    <col min="37" max="37" bestFit="true" customWidth="true" width="9.42578125" collapsed="true"/>
  </cols>
  <sheetData>
    <row customFormat="1" r="1" s="3" spans="1:46" x14ac:dyDescent="0.25">
      <c r="A1" s="3">
        <v>1</v>
      </c>
      <c r="B1" s="3">
        <v>2</v>
      </c>
      <c r="C1" s="3">
        <v>3</v>
      </c>
      <c r="D1" s="3">
        <v>4</v>
      </c>
      <c r="E1" s="3">
        <v>5</v>
      </c>
      <c r="F1" s="3">
        <v>6</v>
      </c>
      <c r="G1" s="3">
        <v>7</v>
      </c>
      <c r="H1" s="3">
        <v>8</v>
      </c>
      <c r="I1" s="3">
        <v>9</v>
      </c>
      <c r="J1" s="3">
        <v>10</v>
      </c>
      <c r="K1" s="3">
        <v>11</v>
      </c>
      <c r="L1" s="3">
        <v>12</v>
      </c>
      <c r="M1" s="3">
        <v>13</v>
      </c>
      <c r="N1" s="3">
        <v>14</v>
      </c>
      <c r="O1" s="3">
        <v>15</v>
      </c>
      <c r="P1" s="3">
        <v>16</v>
      </c>
      <c r="Q1" s="3">
        <v>17</v>
      </c>
      <c r="R1" s="3">
        <v>18</v>
      </c>
      <c r="S1" s="3">
        <v>19</v>
      </c>
      <c r="T1" s="3">
        <v>20</v>
      </c>
      <c r="U1" s="3">
        <v>21</v>
      </c>
    </row>
    <row r="2" spans="1:46" x14ac:dyDescent="0.25">
      <c r="A2" s="1"/>
      <c r="B2" s="1"/>
      <c r="C2" s="1"/>
      <c r="D2" s="1"/>
      <c r="E2" s="1"/>
      <c r="F2" s="1"/>
      <c r="G2" s="1"/>
      <c r="H2" s="1"/>
      <c r="I2" s="1"/>
      <c r="J2" s="1"/>
      <c r="K2" s="1"/>
      <c r="L2" s="1"/>
      <c r="M2" s="1"/>
      <c r="N2" s="1"/>
      <c r="O2" s="1"/>
      <c r="P2" s="1"/>
      <c r="Q2" s="1"/>
      <c r="R2" s="1"/>
      <c r="S2" s="1"/>
      <c r="T2" s="1"/>
      <c r="U2" s="1"/>
    </row>
    <row r="3" spans="1:46" x14ac:dyDescent="0.25">
      <c r="A3" s="1" t="s">
        <v>29</v>
      </c>
      <c r="B3" s="1" t="s">
        <v>164</v>
      </c>
      <c r="C3" s="1" t="s">
        <v>93</v>
      </c>
      <c r="D3" s="1" t="s">
        <v>169</v>
      </c>
      <c r="E3" s="1" t="s">
        <v>161</v>
      </c>
      <c r="F3" s="1" t="s">
        <v>163</v>
      </c>
      <c r="G3" s="1" t="s">
        <v>293</v>
      </c>
      <c r="H3" s="1" t="s">
        <v>100</v>
      </c>
      <c r="I3" s="1" t="s">
        <v>154</v>
      </c>
      <c r="J3" s="1" t="s">
        <v>155</v>
      </c>
      <c r="K3" s="1" t="s">
        <v>162</v>
      </c>
      <c r="L3" s="1" t="s">
        <v>160</v>
      </c>
      <c r="M3" s="1" t="s">
        <v>294</v>
      </c>
      <c r="N3" s="1" t="s">
        <v>108</v>
      </c>
      <c r="O3" s="1" t="s">
        <v>109</v>
      </c>
      <c r="P3" s="1" t="s">
        <v>112</v>
      </c>
      <c r="Q3" s="1" t="s">
        <v>112</v>
      </c>
      <c r="R3" s="1" t="s">
        <v>167</v>
      </c>
      <c r="S3" s="1" t="s">
        <v>167</v>
      </c>
      <c r="T3" s="1" t="s">
        <v>167</v>
      </c>
      <c r="U3" s="1" t="s">
        <v>142</v>
      </c>
      <c r="V3" s="1" t="s">
        <v>142</v>
      </c>
      <c r="W3" s="43" t="s">
        <v>120</v>
      </c>
      <c r="X3" s="43" t="s">
        <v>127</v>
      </c>
      <c r="Y3" s="1" t="s">
        <v>120</v>
      </c>
      <c r="Z3" s="1" t="s">
        <v>119</v>
      </c>
      <c r="AA3" s="1" t="s">
        <v>119</v>
      </c>
      <c r="AB3" s="1" t="s">
        <v>128</v>
      </c>
      <c r="AC3" s="1" t="s">
        <v>142</v>
      </c>
      <c r="AD3" s="1" t="s">
        <v>129</v>
      </c>
      <c r="AE3" s="1" t="s">
        <v>119</v>
      </c>
      <c r="AF3" s="1" t="s">
        <v>131</v>
      </c>
      <c r="AG3" s="1" t="s">
        <v>47</v>
      </c>
      <c r="AH3" s="1" t="s">
        <v>134</v>
      </c>
      <c r="AI3" s="1" t="s">
        <v>147</v>
      </c>
      <c r="AJ3" s="1" t="s">
        <v>134</v>
      </c>
      <c r="AK3" s="1" t="s">
        <v>131</v>
      </c>
      <c r="AL3" s="1" t="s">
        <v>138</v>
      </c>
      <c r="AM3" s="1" t="s">
        <v>159</v>
      </c>
      <c r="AN3" s="1" t="s">
        <v>39</v>
      </c>
      <c r="AO3" s="1" t="s">
        <v>142</v>
      </c>
      <c r="AP3" s="1" t="s">
        <v>143</v>
      </c>
      <c r="AQ3" s="1" t="s">
        <v>38</v>
      </c>
      <c r="AR3" s="1" t="s">
        <v>152</v>
      </c>
      <c r="AS3" s="1" t="s">
        <v>153</v>
      </c>
      <c r="AT3" s="1" t="s">
        <v>138</v>
      </c>
    </row>
    <row r="4" spans="1:46" x14ac:dyDescent="0.25">
      <c r="A4" s="1" t="s">
        <v>29</v>
      </c>
      <c r="B4" s="1" t="s">
        <v>164</v>
      </c>
      <c r="C4" s="1" t="s">
        <v>93</v>
      </c>
      <c r="D4" s="1" t="s">
        <v>199</v>
      </c>
      <c r="E4" s="1" t="s">
        <v>161</v>
      </c>
      <c r="F4" s="1" t="s">
        <v>163</v>
      </c>
      <c r="G4" s="1" t="s">
        <v>295</v>
      </c>
      <c r="H4" s="1" t="s">
        <v>100</v>
      </c>
      <c r="I4" s="1" t="s">
        <v>200</v>
      </c>
      <c r="J4" s="1" t="s">
        <v>201</v>
      </c>
      <c r="K4" s="1" t="s">
        <v>162</v>
      </c>
      <c r="L4" s="1" t="s">
        <v>160</v>
      </c>
      <c r="M4" s="1" t="s">
        <v>296</v>
      </c>
      <c r="N4" s="1" t="s">
        <v>108</v>
      </c>
      <c r="O4" s="1" t="s">
        <v>109</v>
      </c>
      <c r="P4" s="1" t="s">
        <v>112</v>
      </c>
      <c r="Q4" s="1" t="s">
        <v>112</v>
      </c>
      <c r="R4" s="1" t="s">
        <v>167</v>
      </c>
      <c r="S4" s="1" t="s">
        <v>167</v>
      </c>
      <c r="T4" s="1" t="s">
        <v>167</v>
      </c>
      <c r="U4" s="1" t="s">
        <v>142</v>
      </c>
      <c r="V4" s="1" t="s">
        <v>142</v>
      </c>
      <c r="W4" s="1" t="s">
        <v>120</v>
      </c>
      <c r="X4" s="43" t="s">
        <v>127</v>
      </c>
      <c r="Y4" s="1" t="s">
        <v>120</v>
      </c>
      <c r="Z4" s="1" t="s">
        <v>119</v>
      </c>
      <c r="AA4" s="1" t="s">
        <v>119</v>
      </c>
      <c r="AB4" s="1" t="s">
        <v>128</v>
      </c>
      <c r="AC4" s="1" t="s">
        <v>142</v>
      </c>
      <c r="AD4" s="1" t="s">
        <v>129</v>
      </c>
      <c r="AE4" s="1" t="s">
        <v>119</v>
      </c>
      <c r="AF4" s="1" t="s">
        <v>131</v>
      </c>
      <c r="AG4" s="1" t="s">
        <v>47</v>
      </c>
      <c r="AH4" s="1" t="s">
        <v>134</v>
      </c>
      <c r="AI4" s="1" t="s">
        <v>147</v>
      </c>
      <c r="AJ4" s="1" t="s">
        <v>134</v>
      </c>
      <c r="AK4" s="1" t="s">
        <v>131</v>
      </c>
      <c r="AL4" s="1" t="s">
        <v>138</v>
      </c>
      <c r="AM4" s="1" t="s">
        <v>159</v>
      </c>
      <c r="AN4" s="1" t="s">
        <v>39</v>
      </c>
      <c r="AO4" s="1" t="s">
        <v>142</v>
      </c>
      <c r="AP4" s="1" t="s">
        <v>143</v>
      </c>
      <c r="AQ4" s="1" t="s">
        <v>38</v>
      </c>
      <c r="AR4" s="1" t="s">
        <v>152</v>
      </c>
      <c r="AS4" s="1" t="s">
        <v>153</v>
      </c>
      <c r="AT4" s="1" t="s">
        <v>138</v>
      </c>
    </row>
    <row r="5" spans="1:46" x14ac:dyDescent="0.25">
      <c r="A5" s="1" t="s">
        <v>29</v>
      </c>
      <c r="B5" s="1" t="s">
        <v>164</v>
      </c>
      <c r="C5" s="1" t="s">
        <v>93</v>
      </c>
      <c r="D5" s="1" t="s">
        <v>202</v>
      </c>
      <c r="E5" s="1" t="s">
        <v>161</v>
      </c>
      <c r="F5" s="1" t="s">
        <v>163</v>
      </c>
      <c r="G5" s="1" t="s">
        <v>297</v>
      </c>
      <c r="H5" s="1" t="s">
        <v>100</v>
      </c>
      <c r="I5" s="1" t="s">
        <v>203</v>
      </c>
      <c r="J5" s="1" t="s">
        <v>204</v>
      </c>
      <c r="K5" s="1" t="s">
        <v>162</v>
      </c>
      <c r="L5" s="1" t="s">
        <v>160</v>
      </c>
      <c r="M5" s="1" t="s">
        <v>293</v>
      </c>
      <c r="N5" s="1" t="s">
        <v>108</v>
      </c>
      <c r="O5" s="1" t="s">
        <v>109</v>
      </c>
      <c r="P5" s="1" t="s">
        <v>112</v>
      </c>
      <c r="Q5" s="1" t="s">
        <v>112</v>
      </c>
      <c r="R5" s="1" t="s">
        <v>167</v>
      </c>
      <c r="S5" s="1" t="s">
        <v>167</v>
      </c>
      <c r="T5" s="1" t="s">
        <v>167</v>
      </c>
      <c r="U5" s="1" t="s">
        <v>142</v>
      </c>
      <c r="V5" s="1" t="s">
        <v>142</v>
      </c>
      <c r="W5" s="1" t="s">
        <v>120</v>
      </c>
      <c r="X5" s="43" t="s">
        <v>127</v>
      </c>
      <c r="Y5" s="1" t="s">
        <v>120</v>
      </c>
      <c r="Z5" s="1" t="s">
        <v>119</v>
      </c>
      <c r="AA5" s="1" t="s">
        <v>119</v>
      </c>
      <c r="AB5" s="1" t="s">
        <v>128</v>
      </c>
      <c r="AC5" s="1" t="s">
        <v>142</v>
      </c>
      <c r="AD5" s="1" t="s">
        <v>129</v>
      </c>
      <c r="AE5" s="1" t="s">
        <v>119</v>
      </c>
      <c r="AF5" s="1" t="s">
        <v>131</v>
      </c>
      <c r="AG5" s="1" t="s">
        <v>47</v>
      </c>
      <c r="AH5" s="1" t="s">
        <v>134</v>
      </c>
      <c r="AI5" s="1" t="s">
        <v>147</v>
      </c>
      <c r="AJ5" s="1" t="s">
        <v>134</v>
      </c>
      <c r="AK5" s="1" t="s">
        <v>131</v>
      </c>
      <c r="AL5" s="1" t="s">
        <v>138</v>
      </c>
      <c r="AM5" s="1" t="s">
        <v>159</v>
      </c>
      <c r="AN5" s="1" t="s">
        <v>39</v>
      </c>
      <c r="AO5" s="1" t="s">
        <v>142</v>
      </c>
      <c r="AP5" s="1" t="s">
        <v>143</v>
      </c>
      <c r="AQ5" s="1" t="s">
        <v>38</v>
      </c>
      <c r="AR5" s="1" t="s">
        <v>152</v>
      </c>
      <c r="AS5" s="1" t="s">
        <v>153</v>
      </c>
      <c r="AT5" s="1" t="s">
        <v>138</v>
      </c>
    </row>
    <row r="6" spans="1:46" x14ac:dyDescent="0.25">
      <c r="A6" s="1" t="s">
        <v>29</v>
      </c>
      <c r="B6" s="1" t="s">
        <v>164</v>
      </c>
      <c r="C6" s="1" t="s">
        <v>93</v>
      </c>
      <c r="D6" s="1" t="s">
        <v>253</v>
      </c>
      <c r="E6" s="1" t="s">
        <v>161</v>
      </c>
      <c r="F6" s="1" t="s">
        <v>163</v>
      </c>
      <c r="G6" s="1" t="s">
        <v>298</v>
      </c>
      <c r="H6" s="1" t="s">
        <v>100</v>
      </c>
      <c r="I6" s="1" t="s">
        <v>254</v>
      </c>
      <c r="J6" s="1" t="s">
        <v>255</v>
      </c>
      <c r="K6" s="1" t="s">
        <v>162</v>
      </c>
      <c r="L6" s="1" t="s">
        <v>160</v>
      </c>
      <c r="M6" s="1" t="s">
        <v>295</v>
      </c>
      <c r="N6" s="1" t="s">
        <v>108</v>
      </c>
      <c r="O6" s="1" t="s">
        <v>109</v>
      </c>
      <c r="P6" s="1" t="s">
        <v>112</v>
      </c>
      <c r="Q6" s="1" t="s">
        <v>112</v>
      </c>
      <c r="R6" s="1" t="s">
        <v>167</v>
      </c>
      <c r="S6" s="1" t="s">
        <v>167</v>
      </c>
      <c r="T6" s="1" t="s">
        <v>167</v>
      </c>
      <c r="U6" s="1" t="s">
        <v>142</v>
      </c>
      <c r="V6" s="1" t="s">
        <v>142</v>
      </c>
      <c r="W6" s="1" t="s">
        <v>120</v>
      </c>
      <c r="X6" s="43" t="s">
        <v>127</v>
      </c>
      <c r="Y6" s="1" t="s">
        <v>120</v>
      </c>
      <c r="Z6" s="1" t="s">
        <v>119</v>
      </c>
      <c r="AA6" s="1" t="s">
        <v>119</v>
      </c>
      <c r="AB6" s="1" t="s">
        <v>128</v>
      </c>
      <c r="AC6" s="1" t="s">
        <v>142</v>
      </c>
      <c r="AD6" s="1" t="s">
        <v>129</v>
      </c>
      <c r="AE6" s="1" t="s">
        <v>119</v>
      </c>
      <c r="AF6" s="1" t="s">
        <v>131</v>
      </c>
      <c r="AG6" s="1" t="s">
        <v>47</v>
      </c>
      <c r="AH6" s="1" t="s">
        <v>134</v>
      </c>
      <c r="AI6" s="1" t="s">
        <v>147</v>
      </c>
      <c r="AJ6" s="1" t="s">
        <v>134</v>
      </c>
      <c r="AK6" s="1" t="s">
        <v>131</v>
      </c>
      <c r="AL6" s="1" t="s">
        <v>138</v>
      </c>
      <c r="AM6" s="1" t="s">
        <v>159</v>
      </c>
      <c r="AN6" s="1" t="s">
        <v>39</v>
      </c>
      <c r="AO6" s="1" t="s">
        <v>142</v>
      </c>
      <c r="AP6" s="1" t="s">
        <v>143</v>
      </c>
      <c r="AQ6" s="1" t="s">
        <v>38</v>
      </c>
      <c r="AR6" s="1" t="s">
        <v>152</v>
      </c>
      <c r="AS6" s="1" t="s">
        <v>153</v>
      </c>
      <c r="AT6" s="1" t="s">
        <v>138</v>
      </c>
    </row>
    <row r="7" spans="1:46" x14ac:dyDescent="0.25">
      <c r="A7" s="1" t="s">
        <v>29</v>
      </c>
      <c r="B7" s="1" t="s">
        <v>164</v>
      </c>
      <c r="C7" s="1" t="s">
        <v>93</v>
      </c>
      <c r="D7" s="1" t="s">
        <v>256</v>
      </c>
      <c r="E7" s="1" t="s">
        <v>161</v>
      </c>
      <c r="F7" s="1" t="s">
        <v>163</v>
      </c>
      <c r="G7" s="1" t="s">
        <v>299</v>
      </c>
      <c r="H7" s="1" t="s">
        <v>100</v>
      </c>
      <c r="I7" s="1" t="s">
        <v>257</v>
      </c>
      <c r="J7" s="1" t="s">
        <v>258</v>
      </c>
      <c r="K7" s="1" t="s">
        <v>162</v>
      </c>
      <c r="L7" s="1" t="s">
        <v>160</v>
      </c>
      <c r="M7" s="1" t="s">
        <v>297</v>
      </c>
      <c r="N7" s="1" t="s">
        <v>108</v>
      </c>
      <c r="O7" s="1" t="s">
        <v>109</v>
      </c>
      <c r="P7" s="1" t="s">
        <v>112</v>
      </c>
      <c r="Q7" s="1" t="s">
        <v>112</v>
      </c>
      <c r="R7" s="1" t="s">
        <v>167</v>
      </c>
      <c r="S7" s="1" t="s">
        <v>167</v>
      </c>
      <c r="T7" s="1" t="s">
        <v>167</v>
      </c>
      <c r="U7" s="1" t="s">
        <v>142</v>
      </c>
      <c r="V7" s="1" t="s">
        <v>142</v>
      </c>
      <c r="W7" s="1" t="s">
        <v>120</v>
      </c>
      <c r="X7" s="43" t="s">
        <v>127</v>
      </c>
      <c r="Y7" s="1" t="s">
        <v>120</v>
      </c>
      <c r="Z7" s="1" t="s">
        <v>119</v>
      </c>
      <c r="AA7" s="1" t="s">
        <v>119</v>
      </c>
      <c r="AB7" s="1" t="s">
        <v>128</v>
      </c>
      <c r="AC7" s="1" t="s">
        <v>142</v>
      </c>
      <c r="AD7" s="1" t="s">
        <v>129</v>
      </c>
      <c r="AE7" s="1" t="s">
        <v>119</v>
      </c>
      <c r="AF7" s="1" t="s">
        <v>131</v>
      </c>
      <c r="AG7" s="1" t="s">
        <v>47</v>
      </c>
      <c r="AH7" s="1" t="s">
        <v>134</v>
      </c>
      <c r="AI7" s="1" t="s">
        <v>147</v>
      </c>
      <c r="AJ7" s="1" t="s">
        <v>134</v>
      </c>
      <c r="AK7" s="1" t="s">
        <v>131</v>
      </c>
      <c r="AL7" s="1" t="s">
        <v>138</v>
      </c>
      <c r="AM7" s="1" t="s">
        <v>159</v>
      </c>
      <c r="AN7" s="1" t="s">
        <v>39</v>
      </c>
      <c r="AO7" s="1" t="s">
        <v>142</v>
      </c>
      <c r="AP7" s="1" t="s">
        <v>143</v>
      </c>
      <c r="AQ7" s="1" t="s">
        <v>38</v>
      </c>
      <c r="AR7" s="1" t="s">
        <v>152</v>
      </c>
      <c r="AS7" s="1" t="s">
        <v>153</v>
      </c>
      <c r="AT7" s="1" t="s">
        <v>138</v>
      </c>
    </row>
    <row r="8" spans="1:46" x14ac:dyDescent="0.25">
      <c r="A8" s="1" t="s">
        <v>29</v>
      </c>
      <c r="B8" s="1" t="s">
        <v>164</v>
      </c>
      <c r="C8" s="1" t="s">
        <v>93</v>
      </c>
      <c r="D8" s="1" t="s">
        <v>259</v>
      </c>
      <c r="E8" s="1" t="s">
        <v>161</v>
      </c>
      <c r="F8" s="1" t="s">
        <v>163</v>
      </c>
      <c r="G8" s="1" t="s">
        <v>300</v>
      </c>
      <c r="H8" s="1" t="s">
        <v>100</v>
      </c>
      <c r="I8" s="1" t="s">
        <v>260</v>
      </c>
      <c r="J8" s="1" t="s">
        <v>261</v>
      </c>
      <c r="K8" s="1" t="s">
        <v>162</v>
      </c>
      <c r="L8" s="1" t="s">
        <v>160</v>
      </c>
      <c r="M8" s="1" t="s">
        <v>298</v>
      </c>
      <c r="N8" s="1" t="s">
        <v>108</v>
      </c>
      <c r="O8" s="1" t="s">
        <v>109</v>
      </c>
      <c r="P8" s="1" t="s">
        <v>112</v>
      </c>
      <c r="Q8" s="1" t="s">
        <v>112</v>
      </c>
      <c r="R8" s="1" t="s">
        <v>167</v>
      </c>
      <c r="S8" s="1" t="s">
        <v>167</v>
      </c>
      <c r="T8" s="1" t="s">
        <v>167</v>
      </c>
      <c r="U8" s="1" t="s">
        <v>142</v>
      </c>
      <c r="V8" s="1" t="s">
        <v>142</v>
      </c>
      <c r="W8" s="1" t="s">
        <v>120</v>
      </c>
      <c r="X8" s="43" t="s">
        <v>127</v>
      </c>
      <c r="Y8" s="1" t="s">
        <v>120</v>
      </c>
      <c r="Z8" s="1" t="s">
        <v>119</v>
      </c>
      <c r="AA8" s="1" t="s">
        <v>119</v>
      </c>
      <c r="AB8" s="1" t="s">
        <v>128</v>
      </c>
      <c r="AC8" s="1" t="s">
        <v>142</v>
      </c>
      <c r="AD8" s="1" t="s">
        <v>129</v>
      </c>
      <c r="AE8" s="1" t="s">
        <v>119</v>
      </c>
      <c r="AF8" s="1" t="s">
        <v>131</v>
      </c>
      <c r="AG8" s="1" t="s">
        <v>47</v>
      </c>
      <c r="AH8" s="1" t="s">
        <v>134</v>
      </c>
      <c r="AI8" s="1" t="s">
        <v>147</v>
      </c>
      <c r="AJ8" s="1" t="s">
        <v>134</v>
      </c>
      <c r="AK8" s="26" t="s">
        <v>131</v>
      </c>
      <c r="AL8" s="1" t="s">
        <v>138</v>
      </c>
      <c r="AM8" s="1" t="s">
        <v>159</v>
      </c>
      <c r="AN8" s="1" t="s">
        <v>39</v>
      </c>
      <c r="AO8" s="1" t="s">
        <v>142</v>
      </c>
      <c r="AP8" s="1" t="s">
        <v>143</v>
      </c>
      <c r="AQ8" s="1" t="s">
        <v>38</v>
      </c>
      <c r="AR8" s="1" t="s">
        <v>152</v>
      </c>
      <c r="AS8" s="1" t="s">
        <v>153</v>
      </c>
      <c r="AT8" s="1" t="s">
        <v>138</v>
      </c>
    </row>
    <row r="9" spans="1:46" x14ac:dyDescent="0.25">
      <c r="A9" s="1" t="s">
        <v>29</v>
      </c>
      <c r="B9" s="1" t="s">
        <v>164</v>
      </c>
      <c r="C9" s="1" t="s">
        <v>93</v>
      </c>
      <c r="D9" s="1" t="s">
        <v>262</v>
      </c>
      <c r="E9" s="1" t="s">
        <v>161</v>
      </c>
      <c r="F9" s="1" t="s">
        <v>163</v>
      </c>
      <c r="G9" s="1" t="s">
        <v>301</v>
      </c>
      <c r="H9" s="1" t="s">
        <v>100</v>
      </c>
      <c r="I9" s="1" t="s">
        <v>263</v>
      </c>
      <c r="J9" s="1" t="s">
        <v>264</v>
      </c>
      <c r="K9" s="1" t="s">
        <v>162</v>
      </c>
      <c r="L9" s="1" t="s">
        <v>160</v>
      </c>
      <c r="M9" s="1" t="s">
        <v>299</v>
      </c>
      <c r="N9" s="1" t="s">
        <v>108</v>
      </c>
      <c r="O9" s="1" t="s">
        <v>109</v>
      </c>
      <c r="P9" s="1" t="s">
        <v>112</v>
      </c>
      <c r="Q9" s="1" t="s">
        <v>112</v>
      </c>
      <c r="R9" s="1" t="s">
        <v>167</v>
      </c>
      <c r="S9" s="1" t="s">
        <v>167</v>
      </c>
      <c r="T9" s="1" t="s">
        <v>167</v>
      </c>
      <c r="U9" s="1" t="s">
        <v>142</v>
      </c>
      <c r="V9" s="1" t="s">
        <v>142</v>
      </c>
      <c r="W9" s="1" t="s">
        <v>120</v>
      </c>
      <c r="X9" s="43" t="s">
        <v>127</v>
      </c>
      <c r="Y9" s="1" t="s">
        <v>120</v>
      </c>
      <c r="Z9" s="1" t="s">
        <v>119</v>
      </c>
      <c r="AA9" s="1" t="s">
        <v>119</v>
      </c>
      <c r="AB9" s="1" t="s">
        <v>128</v>
      </c>
      <c r="AC9" s="1" t="s">
        <v>142</v>
      </c>
      <c r="AD9" s="1" t="s">
        <v>129</v>
      </c>
      <c r="AE9" s="1" t="s">
        <v>119</v>
      </c>
      <c r="AF9" s="1" t="s">
        <v>131</v>
      </c>
      <c r="AG9" s="1" t="s">
        <v>47</v>
      </c>
      <c r="AH9" s="1" t="s">
        <v>134</v>
      </c>
      <c r="AI9" s="1" t="s">
        <v>147</v>
      </c>
      <c r="AJ9" s="1" t="s">
        <v>134</v>
      </c>
      <c r="AK9" s="26" t="s">
        <v>131</v>
      </c>
      <c r="AL9" s="1" t="s">
        <v>138</v>
      </c>
      <c r="AM9" s="1" t="s">
        <v>159</v>
      </c>
      <c r="AN9" s="1" t="s">
        <v>39</v>
      </c>
      <c r="AO9" s="1" t="s">
        <v>142</v>
      </c>
      <c r="AP9" s="1" t="s">
        <v>143</v>
      </c>
      <c r="AQ9" s="1" t="s">
        <v>38</v>
      </c>
      <c r="AR9" s="1" t="s">
        <v>152</v>
      </c>
      <c r="AS9" s="1" t="s">
        <v>153</v>
      </c>
      <c r="AT9" s="1" t="s">
        <v>138</v>
      </c>
    </row>
    <row r="10" spans="1:46" x14ac:dyDescent="0.25">
      <c r="A10" s="1" t="s">
        <v>29</v>
      </c>
      <c r="B10" s="1" t="s">
        <v>164</v>
      </c>
      <c r="C10" s="1" t="s">
        <v>93</v>
      </c>
      <c r="D10" s="1" t="s">
        <v>265</v>
      </c>
      <c r="E10" s="1" t="s">
        <v>161</v>
      </c>
      <c r="F10" s="1" t="s">
        <v>163</v>
      </c>
      <c r="G10" s="1" t="s">
        <v>302</v>
      </c>
      <c r="H10" s="1" t="s">
        <v>100</v>
      </c>
      <c r="I10" s="1" t="s">
        <v>266</v>
      </c>
      <c r="J10" s="1" t="s">
        <v>267</v>
      </c>
      <c r="K10" s="1" t="s">
        <v>162</v>
      </c>
      <c r="L10" s="1" t="s">
        <v>160</v>
      </c>
      <c r="M10" s="1" t="s">
        <v>300</v>
      </c>
      <c r="N10" s="1" t="s">
        <v>108</v>
      </c>
      <c r="O10" s="1" t="s">
        <v>109</v>
      </c>
      <c r="P10" s="1" t="s">
        <v>112</v>
      </c>
      <c r="Q10" s="1" t="s">
        <v>112</v>
      </c>
      <c r="R10" s="1" t="s">
        <v>167</v>
      </c>
      <c r="S10" s="1" t="s">
        <v>167</v>
      </c>
      <c r="T10" s="1" t="s">
        <v>167</v>
      </c>
      <c r="U10" s="1" t="s">
        <v>142</v>
      </c>
      <c r="V10" s="1" t="s">
        <v>142</v>
      </c>
      <c r="W10" s="1" t="s">
        <v>120</v>
      </c>
      <c r="X10" s="43" t="s">
        <v>127</v>
      </c>
      <c r="Y10" s="1" t="s">
        <v>120</v>
      </c>
      <c r="Z10" s="1" t="s">
        <v>119</v>
      </c>
      <c r="AA10" s="1" t="s">
        <v>119</v>
      </c>
      <c r="AB10" s="1" t="s">
        <v>128</v>
      </c>
      <c r="AC10" s="1" t="s">
        <v>142</v>
      </c>
      <c r="AD10" s="1" t="s">
        <v>129</v>
      </c>
      <c r="AE10" s="1" t="s">
        <v>119</v>
      </c>
      <c r="AF10" s="1" t="s">
        <v>131</v>
      </c>
      <c r="AG10" s="1" t="s">
        <v>47</v>
      </c>
      <c r="AH10" s="1" t="s">
        <v>134</v>
      </c>
      <c r="AI10" s="1" t="s">
        <v>147</v>
      </c>
      <c r="AJ10" s="1" t="s">
        <v>134</v>
      </c>
      <c r="AK10" s="26" t="s">
        <v>131</v>
      </c>
      <c r="AL10" s="1" t="s">
        <v>138</v>
      </c>
      <c r="AM10" s="1" t="s">
        <v>159</v>
      </c>
      <c r="AN10" s="1" t="s">
        <v>39</v>
      </c>
      <c r="AO10" s="1" t="s">
        <v>142</v>
      </c>
      <c r="AP10" s="1" t="s">
        <v>143</v>
      </c>
      <c r="AQ10" s="1" t="s">
        <v>38</v>
      </c>
      <c r="AR10" s="1" t="s">
        <v>152</v>
      </c>
      <c r="AS10" s="1" t="s">
        <v>153</v>
      </c>
      <c r="AT10" s="1" t="s">
        <v>138</v>
      </c>
    </row>
    <row r="11" spans="1:46" x14ac:dyDescent="0.25">
      <c r="A11" s="1" t="s">
        <v>29</v>
      </c>
      <c r="B11" s="1" t="s">
        <v>164</v>
      </c>
      <c r="C11" s="1" t="s">
        <v>93</v>
      </c>
      <c r="D11" s="1" t="s">
        <v>268</v>
      </c>
      <c r="E11" s="1" t="s">
        <v>161</v>
      </c>
      <c r="F11" s="1" t="s">
        <v>163</v>
      </c>
      <c r="G11" s="1" t="s">
        <v>303</v>
      </c>
      <c r="H11" s="1" t="s">
        <v>100</v>
      </c>
      <c r="I11" s="1" t="s">
        <v>269</v>
      </c>
      <c r="J11" s="1" t="s">
        <v>270</v>
      </c>
      <c r="K11" s="1" t="s">
        <v>162</v>
      </c>
      <c r="L11" s="1" t="s">
        <v>160</v>
      </c>
      <c r="M11" s="1" t="s">
        <v>301</v>
      </c>
      <c r="N11" s="1" t="s">
        <v>108</v>
      </c>
      <c r="O11" s="1" t="s">
        <v>109</v>
      </c>
      <c r="P11" s="1" t="s">
        <v>112</v>
      </c>
      <c r="Q11" s="1" t="s">
        <v>112</v>
      </c>
      <c r="R11" s="1" t="s">
        <v>167</v>
      </c>
      <c r="S11" s="1" t="s">
        <v>167</v>
      </c>
      <c r="T11" s="1" t="s">
        <v>167</v>
      </c>
      <c r="U11" s="1" t="s">
        <v>142</v>
      </c>
      <c r="V11" s="1" t="s">
        <v>142</v>
      </c>
      <c r="W11" s="1" t="s">
        <v>120</v>
      </c>
      <c r="X11" s="1" t="s">
        <v>127</v>
      </c>
      <c r="Y11" s="1" t="s">
        <v>120</v>
      </c>
      <c r="Z11" s="1" t="s">
        <v>119</v>
      </c>
      <c r="AA11" s="1" t="s">
        <v>119</v>
      </c>
      <c r="AB11" s="1" t="s">
        <v>128</v>
      </c>
      <c r="AC11" s="1" t="s">
        <v>142</v>
      </c>
      <c r="AD11" s="1" t="s">
        <v>129</v>
      </c>
      <c r="AE11" s="1" t="s">
        <v>119</v>
      </c>
      <c r="AF11" s="1" t="s">
        <v>131</v>
      </c>
      <c r="AG11" s="1" t="s">
        <v>47</v>
      </c>
      <c r="AH11" s="1" t="s">
        <v>134</v>
      </c>
      <c r="AI11" s="1" t="s">
        <v>147</v>
      </c>
      <c r="AJ11" s="1" t="s">
        <v>134</v>
      </c>
      <c r="AK11" s="26" t="s">
        <v>131</v>
      </c>
      <c r="AL11" s="1" t="s">
        <v>138</v>
      </c>
      <c r="AM11" s="1" t="s">
        <v>159</v>
      </c>
      <c r="AN11" s="1" t="s">
        <v>39</v>
      </c>
      <c r="AO11" s="1" t="s">
        <v>142</v>
      </c>
      <c r="AP11" s="1" t="s">
        <v>143</v>
      </c>
      <c r="AQ11" s="1" t="s">
        <v>38</v>
      </c>
      <c r="AR11" s="1" t="s">
        <v>152</v>
      </c>
      <c r="AS11" s="1" t="s">
        <v>153</v>
      </c>
      <c r="AT11" s="1" t="s">
        <v>138</v>
      </c>
    </row>
    <row r="12" spans="1:46" x14ac:dyDescent="0.25">
      <c r="A12" s="1" t="s">
        <v>29</v>
      </c>
      <c r="B12" s="1" t="s">
        <v>164</v>
      </c>
      <c r="C12" s="1" t="s">
        <v>93</v>
      </c>
      <c r="D12" s="1" t="s">
        <v>271</v>
      </c>
      <c r="E12" s="1" t="s">
        <v>161</v>
      </c>
      <c r="F12" s="1" t="s">
        <v>163</v>
      </c>
      <c r="G12" s="1" t="s">
        <v>304</v>
      </c>
      <c r="H12" s="1" t="s">
        <v>100</v>
      </c>
      <c r="I12" s="1" t="s">
        <v>272</v>
      </c>
      <c r="J12" s="1" t="s">
        <v>273</v>
      </c>
      <c r="K12" s="1" t="s">
        <v>162</v>
      </c>
      <c r="L12" s="1" t="s">
        <v>160</v>
      </c>
      <c r="M12" s="1" t="s">
        <v>302</v>
      </c>
      <c r="N12" s="1" t="s">
        <v>108</v>
      </c>
      <c r="O12" s="1" t="s">
        <v>109</v>
      </c>
      <c r="P12" s="1" t="s">
        <v>112</v>
      </c>
      <c r="Q12" s="1" t="s">
        <v>112</v>
      </c>
      <c r="R12" s="1" t="s">
        <v>167</v>
      </c>
      <c r="S12" s="1" t="s">
        <v>167</v>
      </c>
      <c r="T12" s="1" t="s">
        <v>167</v>
      </c>
      <c r="U12" s="1" t="s">
        <v>142</v>
      </c>
      <c r="V12" s="1" t="s">
        <v>142</v>
      </c>
      <c r="W12" s="1" t="s">
        <v>120</v>
      </c>
      <c r="X12" s="1" t="s">
        <v>127</v>
      </c>
      <c r="Y12" s="1" t="s">
        <v>120</v>
      </c>
      <c r="Z12" s="1" t="s">
        <v>119</v>
      </c>
      <c r="AA12" s="1" t="s">
        <v>119</v>
      </c>
      <c r="AB12" s="1" t="s">
        <v>128</v>
      </c>
      <c r="AC12" s="1" t="s">
        <v>142</v>
      </c>
      <c r="AD12" s="1" t="s">
        <v>129</v>
      </c>
      <c r="AE12" s="1" t="s">
        <v>119</v>
      </c>
      <c r="AF12" s="1" t="s">
        <v>131</v>
      </c>
      <c r="AG12" s="1" t="s">
        <v>47</v>
      </c>
      <c r="AH12" s="1" t="s">
        <v>134</v>
      </c>
      <c r="AI12" s="1" t="s">
        <v>147</v>
      </c>
      <c r="AJ12" s="1" t="s">
        <v>134</v>
      </c>
      <c r="AK12" s="26" t="s">
        <v>131</v>
      </c>
      <c r="AL12" s="1" t="s">
        <v>138</v>
      </c>
      <c r="AM12" s="1" t="s">
        <v>159</v>
      </c>
      <c r="AN12" s="1" t="s">
        <v>39</v>
      </c>
      <c r="AO12" s="1" t="s">
        <v>142</v>
      </c>
      <c r="AP12" s="1" t="s">
        <v>143</v>
      </c>
      <c r="AQ12" s="1" t="s">
        <v>38</v>
      </c>
      <c r="AR12" s="1" t="s">
        <v>152</v>
      </c>
      <c r="AS12" s="1" t="s">
        <v>153</v>
      </c>
      <c r="AT12" s="1" t="s">
        <v>138</v>
      </c>
    </row>
    <row r="13" spans="1:46" x14ac:dyDescent="0.25">
      <c r="A13" s="1" t="s">
        <v>29</v>
      </c>
      <c r="B13" s="1" t="s">
        <v>164</v>
      </c>
      <c r="C13" s="1" t="s">
        <v>93</v>
      </c>
      <c r="D13" s="1" t="s">
        <v>282</v>
      </c>
      <c r="E13" s="1" t="s">
        <v>161</v>
      </c>
      <c r="F13" s="1" t="s">
        <v>163</v>
      </c>
      <c r="G13" s="1" t="s">
        <v>305</v>
      </c>
      <c r="H13" s="1" t="s">
        <v>100</v>
      </c>
      <c r="I13" s="1" t="s">
        <v>283</v>
      </c>
      <c r="J13" s="1" t="s">
        <v>284</v>
      </c>
      <c r="K13" s="1" t="s">
        <v>162</v>
      </c>
      <c r="L13" s="1" t="s">
        <v>160</v>
      </c>
      <c r="M13" s="1" t="s">
        <v>303</v>
      </c>
      <c r="N13" s="1" t="s">
        <v>108</v>
      </c>
      <c r="O13" s="1" t="s">
        <v>109</v>
      </c>
      <c r="P13" s="1" t="s">
        <v>112</v>
      </c>
      <c r="Q13" s="1" t="s">
        <v>112</v>
      </c>
      <c r="R13" s="1" t="s">
        <v>167</v>
      </c>
      <c r="S13" s="1" t="s">
        <v>167</v>
      </c>
      <c r="T13" s="1" t="s">
        <v>167</v>
      </c>
      <c r="U13" s="1" t="s">
        <v>142</v>
      </c>
      <c r="V13" s="1" t="s">
        <v>142</v>
      </c>
      <c r="W13" s="1" t="s">
        <v>120</v>
      </c>
      <c r="X13" s="1" t="s">
        <v>127</v>
      </c>
      <c r="Y13" s="1" t="s">
        <v>120</v>
      </c>
      <c r="Z13" s="1" t="s">
        <v>119</v>
      </c>
      <c r="AA13" s="1" t="s">
        <v>119</v>
      </c>
      <c r="AB13" s="1" t="s">
        <v>128</v>
      </c>
      <c r="AC13" s="1" t="s">
        <v>142</v>
      </c>
      <c r="AD13" s="1" t="s">
        <v>129</v>
      </c>
      <c r="AE13" s="1" t="s">
        <v>119</v>
      </c>
      <c r="AF13" s="1" t="s">
        <v>131</v>
      </c>
      <c r="AG13" s="1" t="s">
        <v>47</v>
      </c>
      <c r="AH13" s="1" t="s">
        <v>134</v>
      </c>
      <c r="AI13" s="1" t="s">
        <v>147</v>
      </c>
      <c r="AJ13" s="1" t="s">
        <v>134</v>
      </c>
      <c r="AK13" s="1" t="s">
        <v>131</v>
      </c>
      <c r="AL13" s="1" t="s">
        <v>138</v>
      </c>
      <c r="AM13" s="1" t="s">
        <v>159</v>
      </c>
      <c r="AN13" s="1" t="s">
        <v>39</v>
      </c>
      <c r="AO13" s="1" t="s">
        <v>142</v>
      </c>
      <c r="AP13" s="1" t="s">
        <v>143</v>
      </c>
      <c r="AQ13" s="1" t="s">
        <v>38</v>
      </c>
      <c r="AR13" s="1" t="s">
        <v>152</v>
      </c>
      <c r="AS13" s="1" t="s">
        <v>153</v>
      </c>
      <c r="AT13" s="1" t="s">
        <v>138</v>
      </c>
    </row>
    <row r="14" spans="1:46" x14ac:dyDescent="0.25">
      <c r="A14" s="1" t="s">
        <v>29</v>
      </c>
      <c r="B14" s="1" t="s">
        <v>164</v>
      </c>
      <c r="C14" s="1" t="s">
        <v>93</v>
      </c>
      <c r="D14" s="1" t="s">
        <v>285</v>
      </c>
      <c r="E14" s="1" t="s">
        <v>161</v>
      </c>
      <c r="F14" s="1" t="s">
        <v>163</v>
      </c>
      <c r="G14" s="1" t="s">
        <v>306</v>
      </c>
      <c r="H14" s="1" t="s">
        <v>100</v>
      </c>
      <c r="I14" s="1" t="s">
        <v>286</v>
      </c>
      <c r="J14" s="1" t="s">
        <v>287</v>
      </c>
      <c r="K14" s="1" t="s">
        <v>162</v>
      </c>
      <c r="L14" s="1" t="s">
        <v>160</v>
      </c>
      <c r="M14" s="1" t="s">
        <v>304</v>
      </c>
      <c r="N14" s="1" t="s">
        <v>108</v>
      </c>
      <c r="O14" s="1" t="s">
        <v>109</v>
      </c>
      <c r="P14" s="1" t="s">
        <v>112</v>
      </c>
      <c r="Q14" s="1" t="s">
        <v>112</v>
      </c>
      <c r="R14" s="1" t="s">
        <v>167</v>
      </c>
      <c r="S14" s="1" t="s">
        <v>167</v>
      </c>
      <c r="T14" s="1" t="s">
        <v>167</v>
      </c>
      <c r="U14" s="1" t="s">
        <v>142</v>
      </c>
      <c r="V14" s="1" t="s">
        <v>142</v>
      </c>
      <c r="W14" s="1" t="s">
        <v>120</v>
      </c>
      <c r="X14" s="1" t="s">
        <v>127</v>
      </c>
      <c r="Y14" s="1" t="s">
        <v>120</v>
      </c>
      <c r="Z14" s="1" t="s">
        <v>119</v>
      </c>
      <c r="AA14" s="1" t="s">
        <v>119</v>
      </c>
      <c r="AB14" s="1" t="s">
        <v>128</v>
      </c>
      <c r="AC14" s="1" t="s">
        <v>142</v>
      </c>
      <c r="AD14" s="1" t="s">
        <v>129</v>
      </c>
      <c r="AE14" s="1" t="s">
        <v>119</v>
      </c>
      <c r="AF14" s="1" t="s">
        <v>131</v>
      </c>
      <c r="AG14" s="1" t="s">
        <v>47</v>
      </c>
      <c r="AH14" s="1" t="s">
        <v>134</v>
      </c>
      <c r="AI14" s="1" t="s">
        <v>147</v>
      </c>
      <c r="AJ14" s="1" t="s">
        <v>134</v>
      </c>
      <c r="AK14" s="1" t="s">
        <v>131</v>
      </c>
      <c r="AL14" s="1" t="s">
        <v>138</v>
      </c>
      <c r="AM14" s="1" t="s">
        <v>159</v>
      </c>
      <c r="AN14" s="1" t="s">
        <v>39</v>
      </c>
      <c r="AO14" s="1" t="s">
        <v>142</v>
      </c>
      <c r="AP14" s="1" t="s">
        <v>143</v>
      </c>
      <c r="AQ14" s="1" t="s">
        <v>38</v>
      </c>
      <c r="AR14" s="1" t="s">
        <v>152</v>
      </c>
      <c r="AS14" s="1" t="s">
        <v>153</v>
      </c>
      <c r="AT14" s="1" t="s">
        <v>138</v>
      </c>
    </row>
    <row r="15" spans="1:46" x14ac:dyDescent="0.25">
      <c r="A15" s="1" t="s">
        <v>29</v>
      </c>
      <c r="B15" s="1" t="s">
        <v>164</v>
      </c>
      <c r="C15" s="1" t="s">
        <v>93</v>
      </c>
      <c r="D15" s="1" t="s">
        <v>307</v>
      </c>
      <c r="E15" s="1" t="s">
        <v>161</v>
      </c>
      <c r="F15" s="1" t="s">
        <v>163</v>
      </c>
      <c r="G15" s="1" t="s">
        <v>308</v>
      </c>
      <c r="H15" s="1" t="s">
        <v>100</v>
      </c>
      <c r="I15" s="1" t="s">
        <v>309</v>
      </c>
      <c r="J15" s="1" t="s">
        <v>310</v>
      </c>
      <c r="K15" s="1" t="s">
        <v>162</v>
      </c>
      <c r="L15" s="1" t="s">
        <v>160</v>
      </c>
      <c r="M15" s="1" t="s">
        <v>305</v>
      </c>
      <c r="N15" s="1" t="s">
        <v>108</v>
      </c>
      <c r="O15" s="1" t="s">
        <v>109</v>
      </c>
      <c r="P15" s="1" t="s">
        <v>112</v>
      </c>
      <c r="Q15" s="1" t="s">
        <v>112</v>
      </c>
      <c r="R15" s="1" t="s">
        <v>167</v>
      </c>
      <c r="S15" s="1" t="s">
        <v>167</v>
      </c>
      <c r="T15" s="1" t="s">
        <v>167</v>
      </c>
      <c r="U15" s="1" t="s">
        <v>142</v>
      </c>
      <c r="V15" s="1" t="s">
        <v>142</v>
      </c>
      <c r="W15" s="44" t="s">
        <v>120</v>
      </c>
      <c r="X15" s="1" t="s">
        <v>127</v>
      </c>
      <c r="Y15" s="1" t="s">
        <v>120</v>
      </c>
      <c r="Z15" s="1" t="s">
        <v>119</v>
      </c>
      <c r="AA15" s="1" t="s">
        <v>119</v>
      </c>
      <c r="AB15" s="1" t="s">
        <v>128</v>
      </c>
      <c r="AC15" s="1" t="s">
        <v>142</v>
      </c>
      <c r="AD15" s="1" t="s">
        <v>129</v>
      </c>
      <c r="AE15" s="1" t="s">
        <v>119</v>
      </c>
      <c r="AF15" s="1" t="s">
        <v>131</v>
      </c>
      <c r="AG15" s="1" t="s">
        <v>47</v>
      </c>
      <c r="AH15" s="1" t="s">
        <v>134</v>
      </c>
      <c r="AI15" s="1" t="s">
        <v>147</v>
      </c>
      <c r="AJ15" s="1" t="s">
        <v>134</v>
      </c>
      <c r="AK15" s="1" t="s">
        <v>131</v>
      </c>
      <c r="AL15" s="1" t="s">
        <v>138</v>
      </c>
      <c r="AM15" s="1" t="s">
        <v>159</v>
      </c>
      <c r="AN15" s="1" t="s">
        <v>39</v>
      </c>
      <c r="AO15" s="1" t="s">
        <v>142</v>
      </c>
      <c r="AP15" s="1" t="s">
        <v>143</v>
      </c>
      <c r="AQ15" s="1" t="s">
        <v>38</v>
      </c>
      <c r="AR15" s="1" t="s">
        <v>152</v>
      </c>
      <c r="AS15" s="1" t="s">
        <v>153</v>
      </c>
      <c r="AT15" s="1" t="s">
        <v>138</v>
      </c>
    </row>
    <row r="16" spans="1:46" x14ac:dyDescent="0.25">
      <c r="A16" s="1" t="s">
        <v>29</v>
      </c>
      <c r="B16" s="1" t="s">
        <v>164</v>
      </c>
      <c r="C16" s="1" t="s">
        <v>93</v>
      </c>
      <c r="D16" s="1" t="s">
        <v>311</v>
      </c>
      <c r="E16" s="1" t="s">
        <v>161</v>
      </c>
      <c r="F16" s="1" t="s">
        <v>163</v>
      </c>
      <c r="G16" s="1" t="s">
        <v>312</v>
      </c>
      <c r="H16" s="1" t="s">
        <v>100</v>
      </c>
      <c r="I16" s="1" t="s">
        <v>313</v>
      </c>
      <c r="J16" s="1" t="s">
        <v>314</v>
      </c>
      <c r="K16" s="1" t="s">
        <v>162</v>
      </c>
      <c r="L16" s="1" t="s">
        <v>160</v>
      </c>
      <c r="M16" s="1" t="s">
        <v>306</v>
      </c>
      <c r="N16" s="1" t="s">
        <v>108</v>
      </c>
      <c r="O16" s="1" t="s">
        <v>109</v>
      </c>
      <c r="P16" s="1" t="s">
        <v>112</v>
      </c>
      <c r="Q16" s="1" t="s">
        <v>112</v>
      </c>
      <c r="R16" s="1" t="s">
        <v>167</v>
      </c>
      <c r="S16" s="1" t="s">
        <v>167</v>
      </c>
      <c r="T16" s="1" t="s">
        <v>167</v>
      </c>
      <c r="U16" s="1" t="s">
        <v>142</v>
      </c>
      <c r="V16" s="1" t="s">
        <v>142</v>
      </c>
      <c r="W16" s="44" t="s">
        <v>120</v>
      </c>
      <c r="X16" s="1" t="s">
        <v>127</v>
      </c>
      <c r="Y16" s="1" t="s">
        <v>120</v>
      </c>
      <c r="Z16" s="1" t="s">
        <v>119</v>
      </c>
      <c r="AA16" s="1" t="s">
        <v>119</v>
      </c>
      <c r="AB16" s="1" t="s">
        <v>128</v>
      </c>
      <c r="AC16" s="1" t="s">
        <v>142</v>
      </c>
      <c r="AD16" s="1" t="s">
        <v>129</v>
      </c>
      <c r="AE16" s="1" t="s">
        <v>119</v>
      </c>
      <c r="AF16" s="1" t="s">
        <v>131</v>
      </c>
      <c r="AG16" s="1" t="s">
        <v>47</v>
      </c>
      <c r="AH16" s="1" t="s">
        <v>134</v>
      </c>
      <c r="AI16" s="1" t="s">
        <v>147</v>
      </c>
      <c r="AJ16" s="1" t="s">
        <v>134</v>
      </c>
      <c r="AK16" s="1" t="s">
        <v>131</v>
      </c>
      <c r="AL16" s="1" t="s">
        <v>138</v>
      </c>
      <c r="AM16" s="1" t="s">
        <v>159</v>
      </c>
      <c r="AN16" s="1" t="s">
        <v>39</v>
      </c>
      <c r="AO16" s="1" t="s">
        <v>142</v>
      </c>
      <c r="AP16" s="1" t="s">
        <v>143</v>
      </c>
      <c r="AQ16" s="1" t="s">
        <v>38</v>
      </c>
      <c r="AR16" s="1" t="s">
        <v>152</v>
      </c>
      <c r="AS16" s="1" t="s">
        <v>153</v>
      </c>
      <c r="AT16" s="1" t="s">
        <v>138</v>
      </c>
    </row>
    <row r="17" spans="1:46" x14ac:dyDescent="0.25">
      <c r="A17" s="1" t="s">
        <v>29</v>
      </c>
      <c r="B17" s="1" t="s">
        <v>164</v>
      </c>
      <c r="C17" s="1" t="s">
        <v>93</v>
      </c>
      <c r="D17" s="1" t="s">
        <v>315</v>
      </c>
      <c r="E17" s="1" t="s">
        <v>161</v>
      </c>
      <c r="F17" s="1" t="s">
        <v>163</v>
      </c>
      <c r="G17" s="1" t="s">
        <v>316</v>
      </c>
      <c r="H17" s="1" t="s">
        <v>100</v>
      </c>
      <c r="I17" s="1" t="s">
        <v>317</v>
      </c>
      <c r="J17" s="1" t="s">
        <v>318</v>
      </c>
      <c r="K17" s="1" t="s">
        <v>162</v>
      </c>
      <c r="L17" s="1" t="s">
        <v>160</v>
      </c>
      <c r="M17" s="1" t="s">
        <v>308</v>
      </c>
      <c r="N17" s="1" t="s">
        <v>108</v>
      </c>
      <c r="O17" s="1" t="s">
        <v>109</v>
      </c>
      <c r="P17" s="1" t="s">
        <v>112</v>
      </c>
      <c r="Q17" s="1" t="s">
        <v>112</v>
      </c>
      <c r="R17" s="1" t="s">
        <v>167</v>
      </c>
      <c r="S17" s="1" t="s">
        <v>167</v>
      </c>
      <c r="T17" s="1" t="s">
        <v>167</v>
      </c>
      <c r="U17" s="1" t="s">
        <v>142</v>
      </c>
      <c r="V17" s="1" t="s">
        <v>142</v>
      </c>
      <c r="W17" s="44" t="s">
        <v>120</v>
      </c>
      <c r="X17" s="1" t="s">
        <v>127</v>
      </c>
      <c r="Y17" s="1" t="s">
        <v>120</v>
      </c>
      <c r="Z17" s="1" t="s">
        <v>119</v>
      </c>
      <c r="AA17" s="1" t="s">
        <v>119</v>
      </c>
      <c r="AB17" s="1" t="s">
        <v>128</v>
      </c>
      <c r="AC17" s="1" t="s">
        <v>142</v>
      </c>
      <c r="AD17" s="1" t="s">
        <v>129</v>
      </c>
      <c r="AE17" s="1" t="s">
        <v>119</v>
      </c>
      <c r="AF17" s="1" t="s">
        <v>131</v>
      </c>
      <c r="AG17" s="1" t="s">
        <v>47</v>
      </c>
      <c r="AH17" s="1" t="s">
        <v>134</v>
      </c>
      <c r="AI17" s="1" t="s">
        <v>147</v>
      </c>
      <c r="AJ17" s="1" t="s">
        <v>134</v>
      </c>
      <c r="AK17" s="1" t="s">
        <v>131</v>
      </c>
      <c r="AL17" s="1" t="s">
        <v>138</v>
      </c>
      <c r="AM17" s="1" t="s">
        <v>159</v>
      </c>
      <c r="AN17" s="1" t="s">
        <v>39</v>
      </c>
      <c r="AO17" s="1" t="s">
        <v>142</v>
      </c>
      <c r="AP17" s="1" t="s">
        <v>143</v>
      </c>
      <c r="AQ17" s="1" t="s">
        <v>38</v>
      </c>
      <c r="AR17" s="1" t="s">
        <v>152</v>
      </c>
      <c r="AS17" s="1" t="s">
        <v>153</v>
      </c>
      <c r="AT17" s="1" t="s">
        <v>138</v>
      </c>
    </row>
    <row r="18" spans="1:46" x14ac:dyDescent="0.25">
      <c r="A18" s="1" t="s">
        <v>29</v>
      </c>
      <c r="B18" s="1" t="s">
        <v>164</v>
      </c>
      <c r="C18" s="1" t="s">
        <v>93</v>
      </c>
      <c r="D18" s="1" t="s">
        <v>319</v>
      </c>
      <c r="E18" s="1" t="s">
        <v>161</v>
      </c>
      <c r="F18" s="1" t="s">
        <v>163</v>
      </c>
      <c r="G18" s="1" t="s">
        <v>320</v>
      </c>
      <c r="H18" s="1" t="s">
        <v>100</v>
      </c>
      <c r="I18" s="1" t="s">
        <v>321</v>
      </c>
      <c r="J18" s="1" t="s">
        <v>322</v>
      </c>
      <c r="K18" s="1" t="s">
        <v>162</v>
      </c>
      <c r="L18" s="1" t="s">
        <v>160</v>
      </c>
      <c r="M18" s="1" t="s">
        <v>312</v>
      </c>
      <c r="N18" s="1" t="s">
        <v>108</v>
      </c>
      <c r="O18" s="1" t="s">
        <v>109</v>
      </c>
      <c r="P18" s="1" t="s">
        <v>112</v>
      </c>
      <c r="Q18" s="1" t="s">
        <v>112</v>
      </c>
      <c r="R18" s="1" t="s">
        <v>167</v>
      </c>
      <c r="S18" s="1" t="s">
        <v>167</v>
      </c>
      <c r="T18" s="1" t="s">
        <v>167</v>
      </c>
      <c r="U18" s="1" t="s">
        <v>142</v>
      </c>
      <c r="V18" s="1" t="s">
        <v>142</v>
      </c>
      <c r="W18" s="1" t="s">
        <v>120</v>
      </c>
      <c r="X18" s="1" t="s">
        <v>127</v>
      </c>
      <c r="Y18" s="1" t="s">
        <v>120</v>
      </c>
      <c r="Z18" s="1" t="s">
        <v>119</v>
      </c>
      <c r="AA18" s="1" t="s">
        <v>119</v>
      </c>
      <c r="AB18" s="1" t="s">
        <v>128</v>
      </c>
      <c r="AC18" s="1" t="s">
        <v>142</v>
      </c>
      <c r="AD18" s="1" t="s">
        <v>129</v>
      </c>
      <c r="AE18" s="1" t="s">
        <v>119</v>
      </c>
      <c r="AF18" s="1" t="s">
        <v>131</v>
      </c>
      <c r="AG18" s="1" t="s">
        <v>47</v>
      </c>
      <c r="AH18" s="1" t="s">
        <v>134</v>
      </c>
      <c r="AI18" s="1" t="s">
        <v>147</v>
      </c>
      <c r="AJ18" s="1" t="s">
        <v>134</v>
      </c>
      <c r="AK18" s="1" t="s">
        <v>131</v>
      </c>
      <c r="AL18" s="1" t="s">
        <v>138</v>
      </c>
      <c r="AM18" s="1" t="s">
        <v>159</v>
      </c>
      <c r="AN18" s="1" t="s">
        <v>39</v>
      </c>
      <c r="AO18" s="1" t="s">
        <v>142</v>
      </c>
      <c r="AP18" s="1" t="s">
        <v>143</v>
      </c>
      <c r="AQ18" s="1" t="s">
        <v>38</v>
      </c>
      <c r="AR18" s="1" t="s">
        <v>152</v>
      </c>
      <c r="AS18" s="1" t="s">
        <v>153</v>
      </c>
      <c r="AT18" s="1" t="s">
        <v>138</v>
      </c>
    </row>
    <row r="19" spans="1:46" x14ac:dyDescent="0.25">
      <c r="A19" s="1" t="s">
        <v>29</v>
      </c>
      <c r="B19" s="1" t="s">
        <v>164</v>
      </c>
      <c r="C19" s="1" t="s">
        <v>93</v>
      </c>
      <c r="D19" s="1" t="s">
        <v>323</v>
      </c>
      <c r="E19" s="1" t="s">
        <v>161</v>
      </c>
      <c r="F19" s="1" t="s">
        <v>163</v>
      </c>
      <c r="G19" s="1" t="s">
        <v>324</v>
      </c>
      <c r="H19" s="1" t="s">
        <v>100</v>
      </c>
      <c r="I19" s="1" t="s">
        <v>325</v>
      </c>
      <c r="J19" s="1" t="s">
        <v>326</v>
      </c>
      <c r="K19" s="1" t="s">
        <v>162</v>
      </c>
      <c r="L19" s="1" t="s">
        <v>160</v>
      </c>
      <c r="M19" s="1" t="s">
        <v>316</v>
      </c>
      <c r="N19" s="1" t="s">
        <v>108</v>
      </c>
      <c r="O19" s="1" t="s">
        <v>109</v>
      </c>
      <c r="P19" s="1" t="s">
        <v>112</v>
      </c>
      <c r="Q19" s="1" t="s">
        <v>112</v>
      </c>
      <c r="R19" s="1" t="s">
        <v>167</v>
      </c>
      <c r="S19" s="1" t="s">
        <v>167</v>
      </c>
      <c r="T19" s="1" t="s">
        <v>167</v>
      </c>
      <c r="U19" s="1" t="s">
        <v>142</v>
      </c>
      <c r="V19" s="1" t="s">
        <v>142</v>
      </c>
      <c r="W19" s="1" t="s">
        <v>120</v>
      </c>
      <c r="X19" s="1" t="s">
        <v>127</v>
      </c>
      <c r="Y19" s="1" t="s">
        <v>120</v>
      </c>
      <c r="Z19" s="1" t="s">
        <v>119</v>
      </c>
      <c r="AA19" s="1" t="s">
        <v>119</v>
      </c>
      <c r="AB19" s="1" t="s">
        <v>128</v>
      </c>
      <c r="AC19" s="1" t="s">
        <v>142</v>
      </c>
      <c r="AD19" s="1" t="s">
        <v>129</v>
      </c>
      <c r="AE19" s="1" t="s">
        <v>119</v>
      </c>
      <c r="AF19" s="1" t="s">
        <v>131</v>
      </c>
      <c r="AG19" s="1" t="s">
        <v>47</v>
      </c>
      <c r="AH19" s="1" t="s">
        <v>134</v>
      </c>
      <c r="AI19" s="1" t="s">
        <v>147</v>
      </c>
      <c r="AJ19" s="1" t="s">
        <v>134</v>
      </c>
      <c r="AK19" s="1" t="s">
        <v>131</v>
      </c>
      <c r="AL19" s="1" t="s">
        <v>138</v>
      </c>
      <c r="AM19" s="1" t="s">
        <v>159</v>
      </c>
      <c r="AN19" s="1" t="s">
        <v>39</v>
      </c>
      <c r="AO19" s="1" t="s">
        <v>142</v>
      </c>
      <c r="AP19" s="1" t="s">
        <v>143</v>
      </c>
      <c r="AQ19" s="1" t="s">
        <v>38</v>
      </c>
      <c r="AR19" s="1" t="s">
        <v>152</v>
      </c>
      <c r="AS19" s="1" t="s">
        <v>153</v>
      </c>
      <c r="AT19" s="1" t="s">
        <v>138</v>
      </c>
    </row>
    <row r="20" spans="1:46" x14ac:dyDescent="0.25">
      <c r="A20" s="1" t="s">
        <v>29</v>
      </c>
      <c r="B20" s="1" t="s">
        <v>164</v>
      </c>
      <c r="C20" s="1" t="s">
        <v>93</v>
      </c>
      <c r="D20" s="1" t="s">
        <v>327</v>
      </c>
      <c r="E20" s="1" t="s">
        <v>161</v>
      </c>
      <c r="F20" s="1" t="s">
        <v>163</v>
      </c>
      <c r="G20" s="1" t="s">
        <v>328</v>
      </c>
      <c r="H20" s="1" t="s">
        <v>100</v>
      </c>
      <c r="I20" s="1" t="s">
        <v>329</v>
      </c>
      <c r="J20" s="1" t="s">
        <v>330</v>
      </c>
      <c r="K20" s="1" t="s">
        <v>162</v>
      </c>
      <c r="L20" s="1" t="s">
        <v>160</v>
      </c>
      <c r="M20" s="1" t="s">
        <v>320</v>
      </c>
      <c r="N20" s="1" t="s">
        <v>108</v>
      </c>
      <c r="O20" s="1" t="s">
        <v>109</v>
      </c>
      <c r="P20" s="1" t="s">
        <v>112</v>
      </c>
      <c r="Q20" s="1" t="s">
        <v>112</v>
      </c>
      <c r="R20" s="1" t="s">
        <v>167</v>
      </c>
      <c r="S20" s="1" t="s">
        <v>167</v>
      </c>
      <c r="T20" s="1" t="s">
        <v>167</v>
      </c>
      <c r="U20" s="1" t="s">
        <v>142</v>
      </c>
      <c r="V20" s="1" t="s">
        <v>142</v>
      </c>
      <c r="W20" s="1" t="s">
        <v>120</v>
      </c>
      <c r="X20" s="1" t="s">
        <v>127</v>
      </c>
      <c r="Y20" s="1" t="s">
        <v>120</v>
      </c>
      <c r="Z20" s="1" t="s">
        <v>119</v>
      </c>
      <c r="AA20" s="1" t="s">
        <v>119</v>
      </c>
      <c r="AB20" s="1" t="s">
        <v>128</v>
      </c>
      <c r="AC20" s="1" t="s">
        <v>142</v>
      </c>
      <c r="AD20" s="1" t="s">
        <v>129</v>
      </c>
      <c r="AE20" s="1" t="s">
        <v>119</v>
      </c>
      <c r="AF20" s="1" t="s">
        <v>131</v>
      </c>
      <c r="AG20" s="1" t="s">
        <v>47</v>
      </c>
      <c r="AH20" s="1" t="s">
        <v>134</v>
      </c>
      <c r="AI20" s="1" t="s">
        <v>147</v>
      </c>
      <c r="AJ20" s="1" t="s">
        <v>134</v>
      </c>
      <c r="AK20" s="1" t="s">
        <v>131</v>
      </c>
      <c r="AL20" s="1" t="s">
        <v>138</v>
      </c>
      <c r="AM20" s="1" t="s">
        <v>159</v>
      </c>
      <c r="AN20" s="1" t="s">
        <v>39</v>
      </c>
      <c r="AO20" s="1" t="s">
        <v>142</v>
      </c>
      <c r="AP20" s="1" t="s">
        <v>143</v>
      </c>
      <c r="AQ20" s="1" t="s">
        <v>38</v>
      </c>
      <c r="AR20" s="1" t="s">
        <v>152</v>
      </c>
      <c r="AS20" s="1" t="s">
        <v>153</v>
      </c>
      <c r="AT20" s="1" t="s">
        <v>138</v>
      </c>
    </row>
    <row r="21" spans="1:46" x14ac:dyDescent="0.25">
      <c r="A21" s="1" t="s">
        <v>29</v>
      </c>
      <c r="B21" s="1" t="s">
        <v>164</v>
      </c>
      <c r="C21" s="1" t="s">
        <v>93</v>
      </c>
      <c r="D21" s="1" t="s">
        <v>331</v>
      </c>
      <c r="E21" s="1" t="s">
        <v>161</v>
      </c>
      <c r="F21" s="1" t="s">
        <v>163</v>
      </c>
      <c r="G21" s="1" t="s">
        <v>332</v>
      </c>
      <c r="H21" s="1" t="s">
        <v>100</v>
      </c>
      <c r="I21" s="1" t="s">
        <v>333</v>
      </c>
      <c r="J21" s="1" t="s">
        <v>334</v>
      </c>
      <c r="K21" s="1" t="s">
        <v>162</v>
      </c>
      <c r="L21" s="1" t="s">
        <v>160</v>
      </c>
      <c r="M21" s="1" t="s">
        <v>324</v>
      </c>
      <c r="N21" s="1" t="s">
        <v>108</v>
      </c>
      <c r="O21" s="1" t="s">
        <v>109</v>
      </c>
      <c r="P21" s="1" t="s">
        <v>112</v>
      </c>
      <c r="Q21" s="1" t="s">
        <v>112</v>
      </c>
      <c r="R21" s="1" t="s">
        <v>167</v>
      </c>
      <c r="S21" s="1" t="s">
        <v>167</v>
      </c>
      <c r="T21" s="1" t="s">
        <v>167</v>
      </c>
      <c r="U21" s="1" t="s">
        <v>142</v>
      </c>
      <c r="V21" s="1" t="s">
        <v>142</v>
      </c>
      <c r="W21" s="1" t="s">
        <v>120</v>
      </c>
      <c r="X21" s="1" t="s">
        <v>127</v>
      </c>
      <c r="Y21" s="1" t="s">
        <v>120</v>
      </c>
      <c r="Z21" s="1" t="s">
        <v>119</v>
      </c>
      <c r="AA21" s="1" t="s">
        <v>119</v>
      </c>
      <c r="AB21" s="1" t="s">
        <v>128</v>
      </c>
      <c r="AC21" s="1" t="s">
        <v>142</v>
      </c>
      <c r="AD21" s="1" t="s">
        <v>129</v>
      </c>
      <c r="AE21" s="1" t="s">
        <v>119</v>
      </c>
      <c r="AF21" s="1" t="s">
        <v>131</v>
      </c>
      <c r="AG21" s="1" t="s">
        <v>47</v>
      </c>
      <c r="AH21" s="1" t="s">
        <v>134</v>
      </c>
      <c r="AI21" s="1" t="s">
        <v>147</v>
      </c>
      <c r="AJ21" s="1" t="s">
        <v>134</v>
      </c>
      <c r="AK21" s="1" t="s">
        <v>131</v>
      </c>
      <c r="AL21" s="1" t="s">
        <v>138</v>
      </c>
      <c r="AM21" s="1" t="s">
        <v>159</v>
      </c>
      <c r="AN21" s="1" t="s">
        <v>39</v>
      </c>
      <c r="AO21" s="1" t="s">
        <v>142</v>
      </c>
      <c r="AP21" s="1" t="s">
        <v>143</v>
      </c>
      <c r="AQ21" s="1" t="s">
        <v>38</v>
      </c>
      <c r="AR21" s="1" t="s">
        <v>152</v>
      </c>
      <c r="AS21" s="1" t="s">
        <v>153</v>
      </c>
      <c r="AT21" s="1" t="s">
        <v>138</v>
      </c>
    </row>
    <row r="22" spans="1:46" x14ac:dyDescent="0.25">
      <c r="A22" s="1" t="s">
        <v>29</v>
      </c>
      <c r="B22" s="1" t="s">
        <v>164</v>
      </c>
      <c r="C22" s="1" t="s">
        <v>93</v>
      </c>
      <c r="D22" s="1" t="s">
        <v>335</v>
      </c>
      <c r="E22" s="1" t="s">
        <v>161</v>
      </c>
      <c r="F22" s="1" t="s">
        <v>163</v>
      </c>
      <c r="G22" s="1" t="s">
        <v>336</v>
      </c>
      <c r="H22" s="1" t="s">
        <v>100</v>
      </c>
      <c r="I22" s="1" t="s">
        <v>337</v>
      </c>
      <c r="J22" s="1" t="s">
        <v>338</v>
      </c>
      <c r="K22" s="1" t="s">
        <v>162</v>
      </c>
      <c r="L22" s="1" t="s">
        <v>160</v>
      </c>
      <c r="M22" s="1" t="s">
        <v>328</v>
      </c>
      <c r="N22" s="1" t="s">
        <v>108</v>
      </c>
      <c r="O22" s="1" t="s">
        <v>109</v>
      </c>
      <c r="P22" s="1" t="s">
        <v>112</v>
      </c>
      <c r="Q22" s="1" t="s">
        <v>112</v>
      </c>
      <c r="R22" s="1" t="s">
        <v>167</v>
      </c>
      <c r="S22" s="1" t="s">
        <v>167</v>
      </c>
      <c r="T22" s="1" t="s">
        <v>167</v>
      </c>
      <c r="U22" s="1" t="s">
        <v>142</v>
      </c>
      <c r="V22" s="1" t="s">
        <v>142</v>
      </c>
      <c r="W22" s="1" t="s">
        <v>120</v>
      </c>
      <c r="X22" s="1" t="s">
        <v>127</v>
      </c>
      <c r="Y22" s="1" t="s">
        <v>120</v>
      </c>
      <c r="Z22" s="1" t="s">
        <v>119</v>
      </c>
      <c r="AA22" s="1" t="s">
        <v>119</v>
      </c>
      <c r="AB22" s="1" t="s">
        <v>128</v>
      </c>
      <c r="AC22" s="1" t="s">
        <v>142</v>
      </c>
      <c r="AD22" s="1" t="s">
        <v>129</v>
      </c>
      <c r="AE22" s="1" t="s">
        <v>119</v>
      </c>
      <c r="AF22" s="1" t="s">
        <v>131</v>
      </c>
      <c r="AG22" s="1" t="s">
        <v>47</v>
      </c>
      <c r="AH22" s="1" t="s">
        <v>134</v>
      </c>
      <c r="AI22" s="1" t="s">
        <v>147</v>
      </c>
      <c r="AJ22" s="1" t="s">
        <v>134</v>
      </c>
      <c r="AK22" s="1" t="s">
        <v>131</v>
      </c>
      <c r="AL22" s="1" t="s">
        <v>138</v>
      </c>
      <c r="AM22" s="1" t="s">
        <v>159</v>
      </c>
      <c r="AN22" s="1" t="s">
        <v>39</v>
      </c>
      <c r="AO22" s="1" t="s">
        <v>142</v>
      </c>
      <c r="AP22" s="1" t="s">
        <v>143</v>
      </c>
      <c r="AQ22" s="1" t="s">
        <v>38</v>
      </c>
      <c r="AR22" s="1" t="s">
        <v>152</v>
      </c>
      <c r="AS22" s="1" t="s">
        <v>153</v>
      </c>
      <c r="AT22" s="1" t="s">
        <v>138</v>
      </c>
    </row>
    <row r="23" spans="1:46" x14ac:dyDescent="0.25">
      <c r="A23" s="1" t="s">
        <v>29</v>
      </c>
      <c r="B23" s="1" t="s">
        <v>164</v>
      </c>
      <c r="C23" s="1" t="s">
        <v>93</v>
      </c>
      <c r="D23" s="1" t="s">
        <v>339</v>
      </c>
      <c r="E23" s="1" t="s">
        <v>161</v>
      </c>
      <c r="F23" s="1" t="s">
        <v>163</v>
      </c>
      <c r="G23" s="1" t="s">
        <v>340</v>
      </c>
      <c r="H23" s="1" t="s">
        <v>100</v>
      </c>
      <c r="I23" s="1" t="s">
        <v>341</v>
      </c>
      <c r="J23" s="1" t="s">
        <v>342</v>
      </c>
      <c r="K23" s="1" t="s">
        <v>162</v>
      </c>
      <c r="L23" s="1" t="s">
        <v>160</v>
      </c>
      <c r="M23" s="1" t="s">
        <v>332</v>
      </c>
      <c r="N23" s="1" t="s">
        <v>108</v>
      </c>
      <c r="O23" s="1" t="s">
        <v>109</v>
      </c>
      <c r="P23" s="1" t="s">
        <v>112</v>
      </c>
      <c r="Q23" s="1" t="s">
        <v>112</v>
      </c>
      <c r="R23" s="1" t="s">
        <v>167</v>
      </c>
      <c r="S23" s="1" t="s">
        <v>167</v>
      </c>
      <c r="T23" s="1" t="s">
        <v>167</v>
      </c>
      <c r="U23" s="1" t="s">
        <v>142</v>
      </c>
      <c r="V23" s="1" t="s">
        <v>142</v>
      </c>
      <c r="W23" s="1" t="s">
        <v>120</v>
      </c>
      <c r="X23" s="1" t="s">
        <v>127</v>
      </c>
      <c r="Y23" s="1" t="s">
        <v>120</v>
      </c>
      <c r="Z23" s="1" t="s">
        <v>119</v>
      </c>
      <c r="AA23" s="1" t="s">
        <v>119</v>
      </c>
      <c r="AB23" s="1" t="s">
        <v>128</v>
      </c>
      <c r="AC23" s="1" t="s">
        <v>142</v>
      </c>
      <c r="AD23" s="1" t="s">
        <v>129</v>
      </c>
      <c r="AE23" s="1" t="s">
        <v>119</v>
      </c>
      <c r="AF23" s="1" t="s">
        <v>131</v>
      </c>
      <c r="AG23" s="1" t="s">
        <v>47</v>
      </c>
      <c r="AH23" s="1" t="s">
        <v>134</v>
      </c>
      <c r="AI23" s="1" t="s">
        <v>147</v>
      </c>
      <c r="AJ23" s="1" t="s">
        <v>134</v>
      </c>
      <c r="AK23" s="1" t="s">
        <v>131</v>
      </c>
      <c r="AL23" s="1" t="s">
        <v>138</v>
      </c>
      <c r="AM23" s="1" t="s">
        <v>159</v>
      </c>
      <c r="AN23" s="1" t="s">
        <v>39</v>
      </c>
      <c r="AO23" s="1" t="s">
        <v>142</v>
      </c>
      <c r="AP23" s="1" t="s">
        <v>143</v>
      </c>
      <c r="AQ23" s="1" t="s">
        <v>38</v>
      </c>
      <c r="AR23" s="1" t="s">
        <v>152</v>
      </c>
      <c r="AS23" s="1" t="s">
        <v>153</v>
      </c>
      <c r="AT23" s="1" t="s">
        <v>138</v>
      </c>
    </row>
    <row r="24" spans="1:46" x14ac:dyDescent="0.25">
      <c r="A24" s="1" t="s">
        <v>29</v>
      </c>
      <c r="B24" s="1" t="s">
        <v>164</v>
      </c>
      <c r="C24" s="1" t="s">
        <v>93</v>
      </c>
      <c r="D24" s="1" t="s">
        <v>343</v>
      </c>
      <c r="E24" s="1" t="s">
        <v>161</v>
      </c>
      <c r="F24" s="1" t="s">
        <v>163</v>
      </c>
      <c r="G24" s="1" t="s">
        <v>344</v>
      </c>
      <c r="H24" s="1" t="s">
        <v>100</v>
      </c>
      <c r="I24" s="1" t="s">
        <v>345</v>
      </c>
      <c r="J24" s="1" t="s">
        <v>346</v>
      </c>
      <c r="K24" s="1" t="s">
        <v>162</v>
      </c>
      <c r="L24" s="1" t="s">
        <v>160</v>
      </c>
      <c r="M24" s="1" t="s">
        <v>336</v>
      </c>
      <c r="N24" s="1" t="s">
        <v>108</v>
      </c>
      <c r="O24" s="1" t="s">
        <v>109</v>
      </c>
      <c r="P24" s="1" t="s">
        <v>112</v>
      </c>
      <c r="Q24" s="1" t="s">
        <v>112</v>
      </c>
      <c r="R24" s="1" t="s">
        <v>167</v>
      </c>
      <c r="S24" s="1" t="s">
        <v>167</v>
      </c>
      <c r="T24" s="1" t="s">
        <v>167</v>
      </c>
      <c r="U24" s="1" t="s">
        <v>142</v>
      </c>
      <c r="V24" s="1" t="s">
        <v>142</v>
      </c>
      <c r="W24" s="1" t="s">
        <v>120</v>
      </c>
      <c r="X24" s="1" t="s">
        <v>127</v>
      </c>
      <c r="Y24" s="1" t="s">
        <v>120</v>
      </c>
      <c r="Z24" s="1" t="s">
        <v>119</v>
      </c>
      <c r="AA24" s="1" t="s">
        <v>119</v>
      </c>
      <c r="AB24" s="1" t="s">
        <v>128</v>
      </c>
      <c r="AC24" s="1" t="s">
        <v>142</v>
      </c>
      <c r="AD24" s="1" t="s">
        <v>129</v>
      </c>
      <c r="AE24" s="1" t="s">
        <v>119</v>
      </c>
      <c r="AF24" s="1" t="s">
        <v>131</v>
      </c>
      <c r="AG24" s="1" t="s">
        <v>47</v>
      </c>
      <c r="AH24" s="1" t="s">
        <v>134</v>
      </c>
      <c r="AI24" s="1" t="s">
        <v>147</v>
      </c>
      <c r="AJ24" s="1" t="s">
        <v>134</v>
      </c>
      <c r="AK24" s="1" t="s">
        <v>131</v>
      </c>
      <c r="AL24" s="1" t="s">
        <v>138</v>
      </c>
      <c r="AM24" s="1" t="s">
        <v>159</v>
      </c>
      <c r="AN24" s="1" t="s">
        <v>39</v>
      </c>
      <c r="AO24" s="1" t="s">
        <v>142</v>
      </c>
      <c r="AP24" s="1" t="s">
        <v>143</v>
      </c>
      <c r="AQ24" s="1" t="s">
        <v>38</v>
      </c>
      <c r="AR24" s="1" t="s">
        <v>152</v>
      </c>
      <c r="AS24" s="1" t="s">
        <v>153</v>
      </c>
      <c r="AT24" s="1" t="s">
        <v>138</v>
      </c>
    </row>
    <row r="25" spans="1:46" x14ac:dyDescent="0.25">
      <c r="A25" s="1" t="s">
        <v>29</v>
      </c>
      <c r="B25" s="1" t="s">
        <v>164</v>
      </c>
      <c r="C25" s="1" t="s">
        <v>93</v>
      </c>
      <c r="D25" s="1" t="s">
        <v>347</v>
      </c>
      <c r="E25" s="1" t="s">
        <v>161</v>
      </c>
      <c r="F25" s="1" t="s">
        <v>163</v>
      </c>
      <c r="G25" s="1" t="s">
        <v>348</v>
      </c>
      <c r="H25" s="1" t="s">
        <v>100</v>
      </c>
      <c r="I25" s="1" t="s">
        <v>349</v>
      </c>
      <c r="J25" s="1" t="s">
        <v>350</v>
      </c>
      <c r="K25" s="1" t="s">
        <v>162</v>
      </c>
      <c r="L25" s="1" t="s">
        <v>160</v>
      </c>
      <c r="M25" s="1" t="s">
        <v>340</v>
      </c>
      <c r="N25" s="1" t="s">
        <v>108</v>
      </c>
      <c r="O25" s="1" t="s">
        <v>109</v>
      </c>
      <c r="P25" s="1" t="s">
        <v>112</v>
      </c>
      <c r="Q25" s="1" t="s">
        <v>112</v>
      </c>
      <c r="R25" s="1" t="s">
        <v>167</v>
      </c>
      <c r="S25" s="1" t="s">
        <v>167</v>
      </c>
      <c r="T25" s="1" t="s">
        <v>167</v>
      </c>
      <c r="U25" s="1" t="s">
        <v>142</v>
      </c>
      <c r="V25" s="1" t="s">
        <v>142</v>
      </c>
      <c r="W25" s="1" t="s">
        <v>120</v>
      </c>
      <c r="X25" s="1" t="s">
        <v>127</v>
      </c>
      <c r="Y25" s="1" t="s">
        <v>120</v>
      </c>
      <c r="Z25" s="1" t="s">
        <v>119</v>
      </c>
      <c r="AA25" s="1" t="s">
        <v>119</v>
      </c>
      <c r="AB25" s="1" t="s">
        <v>128</v>
      </c>
      <c r="AC25" s="1" t="s">
        <v>142</v>
      </c>
      <c r="AD25" s="1" t="s">
        <v>129</v>
      </c>
      <c r="AE25" s="1" t="s">
        <v>119</v>
      </c>
      <c r="AF25" s="1" t="s">
        <v>131</v>
      </c>
      <c r="AG25" s="1" t="s">
        <v>47</v>
      </c>
      <c r="AH25" s="1" t="s">
        <v>134</v>
      </c>
      <c r="AI25" s="1" t="s">
        <v>147</v>
      </c>
      <c r="AJ25" s="1" t="s">
        <v>134</v>
      </c>
      <c r="AK25" s="1" t="s">
        <v>131</v>
      </c>
      <c r="AL25" s="1" t="s">
        <v>138</v>
      </c>
      <c r="AM25" s="1" t="s">
        <v>159</v>
      </c>
      <c r="AN25" s="1" t="s">
        <v>39</v>
      </c>
      <c r="AO25" s="1" t="s">
        <v>142</v>
      </c>
      <c r="AP25" s="1" t="s">
        <v>143</v>
      </c>
      <c r="AQ25" s="1" t="s">
        <v>38</v>
      </c>
      <c r="AR25" s="1" t="s">
        <v>152</v>
      </c>
      <c r="AS25" s="1" t="s">
        <v>153</v>
      </c>
      <c r="AT25" s="1" t="s">
        <v>138</v>
      </c>
    </row>
    <row r="26" spans="1:46" x14ac:dyDescent="0.25">
      <c r="A26" s="1" t="s">
        <v>29</v>
      </c>
      <c r="B26" s="1" t="s">
        <v>164</v>
      </c>
      <c r="C26" s="1" t="s">
        <v>93</v>
      </c>
      <c r="D26" s="1" t="s">
        <v>351</v>
      </c>
      <c r="E26" s="1" t="s">
        <v>161</v>
      </c>
      <c r="F26" s="1" t="s">
        <v>163</v>
      </c>
      <c r="G26" s="1" t="s">
        <v>352</v>
      </c>
      <c r="H26" s="1" t="s">
        <v>100</v>
      </c>
      <c r="I26" s="1" t="s">
        <v>353</v>
      </c>
      <c r="J26" s="1" t="s">
        <v>354</v>
      </c>
      <c r="K26" s="1" t="s">
        <v>162</v>
      </c>
      <c r="L26" s="1" t="s">
        <v>160</v>
      </c>
      <c r="M26" s="1" t="s">
        <v>344</v>
      </c>
      <c r="N26" s="1" t="s">
        <v>108</v>
      </c>
      <c r="O26" s="1" t="s">
        <v>109</v>
      </c>
      <c r="P26" s="1" t="s">
        <v>112</v>
      </c>
      <c r="Q26" s="1" t="s">
        <v>112</v>
      </c>
      <c r="R26" s="1" t="s">
        <v>167</v>
      </c>
      <c r="S26" s="1" t="s">
        <v>167</v>
      </c>
      <c r="T26" s="1" t="s">
        <v>167</v>
      </c>
      <c r="U26" s="1" t="s">
        <v>142</v>
      </c>
      <c r="V26" s="1" t="s">
        <v>142</v>
      </c>
      <c r="W26" s="1" t="s">
        <v>120</v>
      </c>
      <c r="X26" s="1" t="s">
        <v>127</v>
      </c>
      <c r="Y26" s="1" t="s">
        <v>120</v>
      </c>
      <c r="Z26" s="1" t="s">
        <v>119</v>
      </c>
      <c r="AA26" s="1" t="s">
        <v>119</v>
      </c>
      <c r="AB26" s="1" t="s">
        <v>128</v>
      </c>
      <c r="AC26" s="1" t="s">
        <v>142</v>
      </c>
      <c r="AD26" s="1" t="s">
        <v>129</v>
      </c>
      <c r="AE26" s="1" t="s">
        <v>119</v>
      </c>
      <c r="AF26" s="1" t="s">
        <v>131</v>
      </c>
      <c r="AG26" s="1" t="s">
        <v>47</v>
      </c>
      <c r="AH26" s="1" t="s">
        <v>134</v>
      </c>
      <c r="AI26" s="1" t="s">
        <v>147</v>
      </c>
      <c r="AJ26" s="1" t="s">
        <v>134</v>
      </c>
      <c r="AK26" s="1" t="s">
        <v>131</v>
      </c>
      <c r="AL26" s="1" t="s">
        <v>138</v>
      </c>
      <c r="AM26" s="1" t="s">
        <v>159</v>
      </c>
      <c r="AN26" s="1" t="s">
        <v>39</v>
      </c>
      <c r="AO26" s="1" t="s">
        <v>142</v>
      </c>
      <c r="AP26" s="1" t="s">
        <v>143</v>
      </c>
      <c r="AQ26" s="1" t="s">
        <v>38</v>
      </c>
      <c r="AR26" s="1" t="s">
        <v>152</v>
      </c>
      <c r="AS26" s="1" t="s">
        <v>153</v>
      </c>
      <c r="AT26" s="1" t="s">
        <v>138</v>
      </c>
    </row>
    <row r="27" spans="1:46" x14ac:dyDescent="0.25">
      <c r="A27" s="1" t="s">
        <v>29</v>
      </c>
      <c r="B27" s="1" t="s">
        <v>164</v>
      </c>
      <c r="C27" s="1" t="s">
        <v>93</v>
      </c>
      <c r="D27" s="1" t="s">
        <v>355</v>
      </c>
      <c r="E27" s="1" t="s">
        <v>161</v>
      </c>
      <c r="F27" s="1" t="s">
        <v>163</v>
      </c>
      <c r="G27" s="1" t="s">
        <v>356</v>
      </c>
      <c r="H27" s="1" t="s">
        <v>100</v>
      </c>
      <c r="I27" s="1" t="s">
        <v>357</v>
      </c>
      <c r="J27" s="1" t="s">
        <v>358</v>
      </c>
      <c r="K27" s="1" t="s">
        <v>162</v>
      </c>
      <c r="L27" s="1" t="s">
        <v>160</v>
      </c>
      <c r="M27" s="1" t="s">
        <v>348</v>
      </c>
      <c r="N27" s="1" t="s">
        <v>108</v>
      </c>
      <c r="O27" s="1" t="s">
        <v>109</v>
      </c>
      <c r="P27" s="1" t="s">
        <v>112</v>
      </c>
      <c r="Q27" s="1" t="s">
        <v>112</v>
      </c>
      <c r="R27" s="1" t="s">
        <v>167</v>
      </c>
      <c r="S27" s="1" t="s">
        <v>167</v>
      </c>
      <c r="T27" s="1" t="s">
        <v>167</v>
      </c>
      <c r="U27" s="1" t="s">
        <v>142</v>
      </c>
      <c r="V27" s="1" t="s">
        <v>142</v>
      </c>
      <c r="W27" s="1" t="s">
        <v>120</v>
      </c>
      <c r="X27" s="1" t="s">
        <v>127</v>
      </c>
      <c r="Y27" s="1" t="s">
        <v>120</v>
      </c>
      <c r="Z27" s="1" t="s">
        <v>119</v>
      </c>
      <c r="AA27" s="1" t="s">
        <v>119</v>
      </c>
      <c r="AB27" s="1" t="s">
        <v>128</v>
      </c>
      <c r="AC27" s="1" t="s">
        <v>142</v>
      </c>
      <c r="AD27" s="1" t="s">
        <v>129</v>
      </c>
      <c r="AE27" s="1" t="s">
        <v>119</v>
      </c>
      <c r="AF27" s="1" t="s">
        <v>131</v>
      </c>
      <c r="AG27" s="1" t="s">
        <v>47</v>
      </c>
      <c r="AH27" s="1" t="s">
        <v>134</v>
      </c>
      <c r="AI27" s="1" t="s">
        <v>147</v>
      </c>
      <c r="AJ27" s="1" t="s">
        <v>134</v>
      </c>
      <c r="AK27" s="1" t="s">
        <v>131</v>
      </c>
      <c r="AL27" s="1" t="s">
        <v>138</v>
      </c>
      <c r="AM27" s="1" t="s">
        <v>159</v>
      </c>
      <c r="AN27" s="1" t="s">
        <v>39</v>
      </c>
      <c r="AO27" s="1" t="s">
        <v>142</v>
      </c>
      <c r="AP27" s="1" t="s">
        <v>143</v>
      </c>
      <c r="AQ27" s="1" t="s">
        <v>38</v>
      </c>
      <c r="AR27" s="1" t="s">
        <v>152</v>
      </c>
      <c r="AS27" s="1" t="s">
        <v>153</v>
      </c>
      <c r="AT27" s="1" t="s">
        <v>138</v>
      </c>
    </row>
    <row r="28" spans="1:46" x14ac:dyDescent="0.25">
      <c r="A28" s="1" t="s">
        <v>29</v>
      </c>
      <c r="B28" s="1" t="s">
        <v>164</v>
      </c>
      <c r="C28" s="1" t="s">
        <v>93</v>
      </c>
      <c r="D28" s="1" t="s">
        <v>359</v>
      </c>
      <c r="E28" s="1" t="s">
        <v>161</v>
      </c>
      <c r="F28" s="1" t="s">
        <v>163</v>
      </c>
      <c r="G28" s="1" t="s">
        <v>360</v>
      </c>
      <c r="H28" s="1" t="s">
        <v>100</v>
      </c>
      <c r="I28" s="1" t="s">
        <v>361</v>
      </c>
      <c r="J28" s="1" t="s">
        <v>362</v>
      </c>
      <c r="K28" s="1" t="s">
        <v>162</v>
      </c>
      <c r="L28" s="1" t="s">
        <v>160</v>
      </c>
      <c r="M28" s="1" t="s">
        <v>352</v>
      </c>
      <c r="N28" s="1" t="s">
        <v>108</v>
      </c>
      <c r="O28" s="1" t="s">
        <v>109</v>
      </c>
      <c r="P28" s="1" t="s">
        <v>112</v>
      </c>
      <c r="Q28" s="1" t="s">
        <v>112</v>
      </c>
      <c r="R28" s="1" t="s">
        <v>167</v>
      </c>
      <c r="S28" s="1" t="s">
        <v>167</v>
      </c>
      <c r="T28" s="1" t="s">
        <v>167</v>
      </c>
      <c r="U28" s="1" t="s">
        <v>142</v>
      </c>
      <c r="V28" s="1" t="s">
        <v>142</v>
      </c>
      <c r="W28" s="1" t="s">
        <v>120</v>
      </c>
      <c r="X28" s="1" t="s">
        <v>127</v>
      </c>
      <c r="Y28" s="1" t="s">
        <v>120</v>
      </c>
      <c r="Z28" s="1" t="s">
        <v>119</v>
      </c>
      <c r="AA28" s="1" t="s">
        <v>119</v>
      </c>
      <c r="AB28" s="1" t="s">
        <v>128</v>
      </c>
      <c r="AC28" s="1" t="s">
        <v>142</v>
      </c>
      <c r="AD28" s="1" t="s">
        <v>129</v>
      </c>
      <c r="AE28" s="1" t="s">
        <v>119</v>
      </c>
      <c r="AF28" s="1" t="s">
        <v>131</v>
      </c>
      <c r="AG28" s="1" t="s">
        <v>47</v>
      </c>
      <c r="AH28" s="1" t="s">
        <v>134</v>
      </c>
      <c r="AI28" s="1" t="s">
        <v>147</v>
      </c>
      <c r="AJ28" s="1" t="s">
        <v>134</v>
      </c>
      <c r="AK28" s="1" t="s">
        <v>131</v>
      </c>
      <c r="AL28" s="1" t="s">
        <v>138</v>
      </c>
      <c r="AM28" s="1" t="s">
        <v>159</v>
      </c>
      <c r="AN28" s="1" t="s">
        <v>39</v>
      </c>
      <c r="AO28" s="1" t="s">
        <v>142</v>
      </c>
      <c r="AP28" s="1" t="s">
        <v>143</v>
      </c>
      <c r="AQ28" s="1" t="s">
        <v>38</v>
      </c>
      <c r="AR28" s="1" t="s">
        <v>152</v>
      </c>
      <c r="AS28" s="1" t="s">
        <v>153</v>
      </c>
      <c r="AT28" s="1" t="s">
        <v>138</v>
      </c>
    </row>
    <row r="29" spans="1:46" x14ac:dyDescent="0.25">
      <c r="A29" s="1" t="s">
        <v>29</v>
      </c>
      <c r="B29" s="1" t="s">
        <v>164</v>
      </c>
      <c r="C29" s="1" t="s">
        <v>93</v>
      </c>
      <c r="D29" s="1" t="s">
        <v>363</v>
      </c>
      <c r="E29" s="1" t="s">
        <v>161</v>
      </c>
      <c r="F29" s="1" t="s">
        <v>163</v>
      </c>
      <c r="G29" s="1" t="s">
        <v>364</v>
      </c>
      <c r="H29" s="1" t="s">
        <v>100</v>
      </c>
      <c r="I29" s="1" t="s">
        <v>365</v>
      </c>
      <c r="J29" s="1" t="s">
        <v>366</v>
      </c>
      <c r="K29" s="1" t="s">
        <v>162</v>
      </c>
      <c r="L29" s="1" t="s">
        <v>160</v>
      </c>
      <c r="M29" s="1" t="s">
        <v>356</v>
      </c>
      <c r="N29" s="1" t="s">
        <v>108</v>
      </c>
      <c r="O29" s="1" t="s">
        <v>109</v>
      </c>
      <c r="P29" s="1" t="s">
        <v>112</v>
      </c>
      <c r="Q29" s="1" t="s">
        <v>112</v>
      </c>
      <c r="R29" s="1" t="s">
        <v>167</v>
      </c>
      <c r="S29" s="1" t="s">
        <v>167</v>
      </c>
      <c r="T29" s="1" t="s">
        <v>167</v>
      </c>
      <c r="U29" s="1" t="s">
        <v>142</v>
      </c>
      <c r="V29" s="1" t="s">
        <v>142</v>
      </c>
      <c r="W29" s="1" t="s">
        <v>120</v>
      </c>
      <c r="X29" s="1" t="s">
        <v>127</v>
      </c>
      <c r="Y29" s="1" t="s">
        <v>120</v>
      </c>
      <c r="Z29" s="1" t="s">
        <v>119</v>
      </c>
      <c r="AA29" s="1" t="s">
        <v>119</v>
      </c>
      <c r="AB29" s="1" t="s">
        <v>128</v>
      </c>
      <c r="AC29" s="1" t="s">
        <v>142</v>
      </c>
      <c r="AD29" s="1" t="s">
        <v>129</v>
      </c>
      <c r="AE29" s="1" t="s">
        <v>119</v>
      </c>
      <c r="AF29" s="1" t="s">
        <v>131</v>
      </c>
      <c r="AG29" s="1" t="s">
        <v>47</v>
      </c>
      <c r="AH29" s="1" t="s">
        <v>134</v>
      </c>
      <c r="AI29" s="1" t="s">
        <v>147</v>
      </c>
      <c r="AJ29" s="1" t="s">
        <v>134</v>
      </c>
      <c r="AK29" s="1" t="s">
        <v>131</v>
      </c>
      <c r="AL29" s="1" t="s">
        <v>138</v>
      </c>
      <c r="AM29" s="1" t="s">
        <v>159</v>
      </c>
      <c r="AN29" s="1" t="s">
        <v>39</v>
      </c>
      <c r="AO29" s="1" t="s">
        <v>142</v>
      </c>
      <c r="AP29" s="1" t="s">
        <v>143</v>
      </c>
      <c r="AQ29" s="1" t="s">
        <v>38</v>
      </c>
      <c r="AR29" s="1" t="s">
        <v>152</v>
      </c>
      <c r="AS29" s="1" t="s">
        <v>153</v>
      </c>
      <c r="AT29" s="1" t="s">
        <v>138</v>
      </c>
    </row>
    <row r="30" spans="1:46" x14ac:dyDescent="0.25">
      <c r="A30" s="1" t="s">
        <v>29</v>
      </c>
      <c r="B30" s="1" t="s">
        <v>164</v>
      </c>
      <c r="C30" s="1" t="s">
        <v>93</v>
      </c>
      <c r="D30" s="1" t="s">
        <v>367</v>
      </c>
      <c r="E30" s="1" t="s">
        <v>161</v>
      </c>
      <c r="F30" s="1" t="s">
        <v>163</v>
      </c>
      <c r="G30" s="1" t="s">
        <v>368</v>
      </c>
      <c r="H30" s="1" t="s">
        <v>100</v>
      </c>
      <c r="I30" s="1" t="s">
        <v>369</v>
      </c>
      <c r="J30" s="1" t="s">
        <v>370</v>
      </c>
      <c r="K30" s="1" t="s">
        <v>162</v>
      </c>
      <c r="L30" s="1" t="s">
        <v>160</v>
      </c>
      <c r="M30" s="1" t="s">
        <v>360</v>
      </c>
      <c r="N30" s="1" t="s">
        <v>108</v>
      </c>
      <c r="O30" s="1" t="s">
        <v>109</v>
      </c>
      <c r="P30" s="1" t="s">
        <v>112</v>
      </c>
      <c r="Q30" s="1" t="s">
        <v>112</v>
      </c>
      <c r="R30" s="1" t="s">
        <v>167</v>
      </c>
      <c r="S30" s="1" t="s">
        <v>167</v>
      </c>
      <c r="T30" s="1" t="s">
        <v>167</v>
      </c>
      <c r="U30" s="1" t="s">
        <v>142</v>
      </c>
      <c r="V30" s="1" t="s">
        <v>142</v>
      </c>
      <c r="W30" s="1" t="s">
        <v>120</v>
      </c>
      <c r="X30" s="1" t="s">
        <v>127</v>
      </c>
      <c r="Y30" s="1" t="s">
        <v>120</v>
      </c>
      <c r="Z30" s="1" t="s">
        <v>119</v>
      </c>
      <c r="AA30" s="1" t="s">
        <v>119</v>
      </c>
      <c r="AB30" s="1" t="s">
        <v>128</v>
      </c>
      <c r="AC30" s="1" t="s">
        <v>142</v>
      </c>
      <c r="AD30" s="1" t="s">
        <v>129</v>
      </c>
      <c r="AE30" s="1" t="s">
        <v>119</v>
      </c>
      <c r="AF30" s="1" t="s">
        <v>131</v>
      </c>
      <c r="AG30" s="1" t="s">
        <v>47</v>
      </c>
      <c r="AH30" s="1" t="s">
        <v>134</v>
      </c>
      <c r="AI30" s="1" t="s">
        <v>147</v>
      </c>
      <c r="AJ30" s="1" t="s">
        <v>134</v>
      </c>
      <c r="AK30" s="1" t="s">
        <v>131</v>
      </c>
      <c r="AL30" s="1" t="s">
        <v>138</v>
      </c>
      <c r="AM30" s="1" t="s">
        <v>159</v>
      </c>
      <c r="AN30" s="1" t="s">
        <v>39</v>
      </c>
      <c r="AO30" s="1" t="s">
        <v>142</v>
      </c>
      <c r="AP30" s="1" t="s">
        <v>143</v>
      </c>
      <c r="AQ30" s="1" t="s">
        <v>38</v>
      </c>
      <c r="AR30" s="1" t="s">
        <v>152</v>
      </c>
      <c r="AS30" s="1" t="s">
        <v>153</v>
      </c>
      <c r="AT30" s="1" t="s">
        <v>138</v>
      </c>
    </row>
    <row r="31" spans="1:46" x14ac:dyDescent="0.25">
      <c r="A31" s="1" t="s">
        <v>29</v>
      </c>
      <c r="B31" s="1" t="s">
        <v>164</v>
      </c>
      <c r="C31" s="1" t="s">
        <v>93</v>
      </c>
      <c r="D31" s="1" t="s">
        <v>371</v>
      </c>
      <c r="E31" s="1" t="s">
        <v>161</v>
      </c>
      <c r="F31" s="1" t="s">
        <v>163</v>
      </c>
      <c r="G31" s="1" t="s">
        <v>372</v>
      </c>
      <c r="H31" s="1" t="s">
        <v>100</v>
      </c>
      <c r="I31" s="1" t="s">
        <v>373</v>
      </c>
      <c r="J31" s="1" t="s">
        <v>374</v>
      </c>
      <c r="K31" s="1" t="s">
        <v>162</v>
      </c>
      <c r="L31" s="1" t="s">
        <v>160</v>
      </c>
      <c r="M31" s="1" t="s">
        <v>364</v>
      </c>
      <c r="N31" s="1" t="s">
        <v>108</v>
      </c>
      <c r="O31" s="1" t="s">
        <v>109</v>
      </c>
      <c r="P31" s="1" t="s">
        <v>112</v>
      </c>
      <c r="Q31" s="1" t="s">
        <v>112</v>
      </c>
      <c r="R31" s="1" t="s">
        <v>167</v>
      </c>
      <c r="S31" s="1" t="s">
        <v>167</v>
      </c>
      <c r="T31" s="1" t="s">
        <v>167</v>
      </c>
      <c r="U31" s="1" t="s">
        <v>142</v>
      </c>
      <c r="V31" s="1" t="s">
        <v>142</v>
      </c>
      <c r="W31" s="1" t="s">
        <v>120</v>
      </c>
      <c r="X31" s="1" t="s">
        <v>127</v>
      </c>
      <c r="Y31" s="1" t="s">
        <v>120</v>
      </c>
      <c r="Z31" s="1" t="s">
        <v>119</v>
      </c>
      <c r="AA31" s="1" t="s">
        <v>119</v>
      </c>
      <c r="AB31" s="1" t="s">
        <v>128</v>
      </c>
      <c r="AC31" s="1" t="s">
        <v>142</v>
      </c>
      <c r="AD31" s="1" t="s">
        <v>129</v>
      </c>
      <c r="AE31" s="1" t="s">
        <v>119</v>
      </c>
      <c r="AF31" s="1" t="s">
        <v>131</v>
      </c>
      <c r="AG31" s="1" t="s">
        <v>47</v>
      </c>
      <c r="AH31" s="1" t="s">
        <v>134</v>
      </c>
      <c r="AI31" s="1" t="s">
        <v>147</v>
      </c>
      <c r="AJ31" s="1" t="s">
        <v>134</v>
      </c>
      <c r="AK31" s="1" t="s">
        <v>131</v>
      </c>
      <c r="AL31" s="1" t="s">
        <v>138</v>
      </c>
      <c r="AM31" s="1" t="s">
        <v>159</v>
      </c>
      <c r="AN31" s="1" t="s">
        <v>39</v>
      </c>
      <c r="AO31" s="1" t="s">
        <v>142</v>
      </c>
      <c r="AP31" s="1" t="s">
        <v>143</v>
      </c>
      <c r="AQ31" s="1" t="s">
        <v>38</v>
      </c>
      <c r="AR31" s="1" t="s">
        <v>152</v>
      </c>
      <c r="AS31" s="1" t="s">
        <v>153</v>
      </c>
      <c r="AT31" s="1" t="s">
        <v>138</v>
      </c>
    </row>
    <row r="32" spans="1:46" x14ac:dyDescent="0.25">
      <c r="A32" s="1" t="s">
        <v>29</v>
      </c>
      <c r="B32" s="1" t="s">
        <v>164</v>
      </c>
      <c r="C32" s="1" t="s">
        <v>93</v>
      </c>
      <c r="D32" s="1" t="s">
        <v>375</v>
      </c>
      <c r="E32" s="1" t="s">
        <v>161</v>
      </c>
      <c r="F32" s="1" t="s">
        <v>163</v>
      </c>
      <c r="G32" s="1" t="s">
        <v>376</v>
      </c>
      <c r="H32" s="1" t="s">
        <v>100</v>
      </c>
      <c r="I32" s="1" t="s">
        <v>377</v>
      </c>
      <c r="J32" s="1" t="s">
        <v>378</v>
      </c>
      <c r="K32" s="1" t="s">
        <v>162</v>
      </c>
      <c r="L32" s="1" t="s">
        <v>160</v>
      </c>
      <c r="M32" s="1" t="s">
        <v>368</v>
      </c>
      <c r="N32" s="1" t="s">
        <v>108</v>
      </c>
      <c r="O32" s="1" t="s">
        <v>109</v>
      </c>
      <c r="P32" s="1" t="s">
        <v>112</v>
      </c>
      <c r="Q32" s="1" t="s">
        <v>112</v>
      </c>
      <c r="R32" s="1" t="s">
        <v>167</v>
      </c>
      <c r="S32" s="1" t="s">
        <v>167</v>
      </c>
      <c r="T32" s="1" t="s">
        <v>167</v>
      </c>
      <c r="U32" s="1" t="s">
        <v>142</v>
      </c>
      <c r="V32" s="1" t="s">
        <v>142</v>
      </c>
      <c r="W32" s="1" t="s">
        <v>120</v>
      </c>
      <c r="X32" s="1" t="s">
        <v>127</v>
      </c>
      <c r="Y32" s="1" t="s">
        <v>120</v>
      </c>
      <c r="Z32" s="1" t="s">
        <v>119</v>
      </c>
      <c r="AA32" s="1" t="s">
        <v>119</v>
      </c>
      <c r="AB32" s="1" t="s">
        <v>128</v>
      </c>
      <c r="AC32" s="1" t="s">
        <v>142</v>
      </c>
      <c r="AD32" s="1" t="s">
        <v>129</v>
      </c>
      <c r="AE32" s="1" t="s">
        <v>119</v>
      </c>
      <c r="AF32" s="1" t="s">
        <v>131</v>
      </c>
      <c r="AG32" s="1" t="s">
        <v>47</v>
      </c>
      <c r="AH32" s="1" t="s">
        <v>134</v>
      </c>
      <c r="AI32" s="1" t="s">
        <v>147</v>
      </c>
      <c r="AJ32" s="1" t="s">
        <v>134</v>
      </c>
      <c r="AK32" s="1" t="s">
        <v>131</v>
      </c>
      <c r="AL32" s="1" t="s">
        <v>138</v>
      </c>
      <c r="AM32" s="1" t="s">
        <v>159</v>
      </c>
      <c r="AN32" s="1" t="s">
        <v>39</v>
      </c>
      <c r="AO32" s="1" t="s">
        <v>142</v>
      </c>
      <c r="AP32" s="1" t="s">
        <v>143</v>
      </c>
      <c r="AQ32" s="1" t="s">
        <v>38</v>
      </c>
      <c r="AR32" s="1" t="s">
        <v>152</v>
      </c>
      <c r="AS32" s="1" t="s">
        <v>153</v>
      </c>
      <c r="AT32" s="1" t="s">
        <v>138</v>
      </c>
    </row>
    <row r="33" spans="1:46" x14ac:dyDescent="0.25">
      <c r="A33" s="1" t="s">
        <v>29</v>
      </c>
      <c r="B33" s="1" t="s">
        <v>164</v>
      </c>
      <c r="C33" s="1" t="s">
        <v>93</v>
      </c>
      <c r="D33" s="1" t="s">
        <v>379</v>
      </c>
      <c r="E33" s="1" t="s">
        <v>161</v>
      </c>
      <c r="F33" s="1" t="s">
        <v>163</v>
      </c>
      <c r="G33" s="1" t="s">
        <v>380</v>
      </c>
      <c r="H33" s="1" t="s">
        <v>100</v>
      </c>
      <c r="I33" s="1" t="s">
        <v>381</v>
      </c>
      <c r="J33" s="1" t="s">
        <v>382</v>
      </c>
      <c r="K33" s="1" t="s">
        <v>162</v>
      </c>
      <c r="L33" s="1" t="s">
        <v>160</v>
      </c>
      <c r="M33" s="1" t="s">
        <v>372</v>
      </c>
      <c r="N33" s="1" t="s">
        <v>108</v>
      </c>
      <c r="O33" s="1" t="s">
        <v>109</v>
      </c>
      <c r="P33" s="1" t="s">
        <v>112</v>
      </c>
      <c r="Q33" s="1" t="s">
        <v>112</v>
      </c>
      <c r="R33" s="1" t="s">
        <v>167</v>
      </c>
      <c r="S33" s="1" t="s">
        <v>167</v>
      </c>
      <c r="T33" s="1" t="s">
        <v>167</v>
      </c>
      <c r="U33" s="1" t="s">
        <v>142</v>
      </c>
      <c r="V33" s="1" t="s">
        <v>142</v>
      </c>
      <c r="W33" s="1" t="s">
        <v>120</v>
      </c>
      <c r="X33" s="1" t="s">
        <v>127</v>
      </c>
      <c r="Y33" s="1" t="s">
        <v>120</v>
      </c>
      <c r="Z33" s="1" t="s">
        <v>119</v>
      </c>
      <c r="AA33" s="1" t="s">
        <v>119</v>
      </c>
      <c r="AB33" s="1" t="s">
        <v>128</v>
      </c>
      <c r="AC33" s="1" t="s">
        <v>142</v>
      </c>
      <c r="AD33" s="1" t="s">
        <v>129</v>
      </c>
      <c r="AE33" s="1" t="s">
        <v>119</v>
      </c>
      <c r="AF33" s="1" t="s">
        <v>131</v>
      </c>
      <c r="AG33" s="1" t="s">
        <v>47</v>
      </c>
      <c r="AH33" s="1" t="s">
        <v>134</v>
      </c>
      <c r="AI33" s="1" t="s">
        <v>147</v>
      </c>
      <c r="AJ33" s="1" t="s">
        <v>134</v>
      </c>
      <c r="AK33" s="1" t="s">
        <v>131</v>
      </c>
      <c r="AL33" s="1" t="s">
        <v>138</v>
      </c>
      <c r="AM33" s="1" t="s">
        <v>159</v>
      </c>
      <c r="AN33" s="1" t="s">
        <v>39</v>
      </c>
      <c r="AO33" s="1" t="s">
        <v>142</v>
      </c>
      <c r="AP33" s="1" t="s">
        <v>143</v>
      </c>
      <c r="AQ33" s="1" t="s">
        <v>38</v>
      </c>
      <c r="AR33" s="1" t="s">
        <v>152</v>
      </c>
      <c r="AS33" s="1" t="s">
        <v>153</v>
      </c>
      <c r="AT33" s="1" t="s">
        <v>138</v>
      </c>
    </row>
    <row r="34" spans="1:46" x14ac:dyDescent="0.25">
      <c r="A34" s="1" t="s">
        <v>29</v>
      </c>
      <c r="B34" s="1" t="s">
        <v>164</v>
      </c>
      <c r="C34" s="1" t="s">
        <v>93</v>
      </c>
      <c r="D34" s="1" t="s">
        <v>383</v>
      </c>
      <c r="E34" s="1" t="s">
        <v>161</v>
      </c>
      <c r="F34" s="1" t="s">
        <v>163</v>
      </c>
      <c r="G34" s="1" t="s">
        <v>384</v>
      </c>
      <c r="H34" s="1" t="s">
        <v>100</v>
      </c>
      <c r="I34" s="1" t="s">
        <v>385</v>
      </c>
      <c r="J34" s="1" t="s">
        <v>386</v>
      </c>
      <c r="K34" s="1" t="s">
        <v>162</v>
      </c>
      <c r="L34" s="1" t="s">
        <v>160</v>
      </c>
      <c r="M34" s="1" t="s">
        <v>376</v>
      </c>
      <c r="N34" s="1" t="s">
        <v>108</v>
      </c>
      <c r="O34" s="1" t="s">
        <v>109</v>
      </c>
      <c r="P34" s="1" t="s">
        <v>112</v>
      </c>
      <c r="Q34" s="1" t="s">
        <v>112</v>
      </c>
      <c r="R34" s="1" t="s">
        <v>167</v>
      </c>
      <c r="S34" s="1" t="s">
        <v>167</v>
      </c>
      <c r="T34" s="1" t="s">
        <v>167</v>
      </c>
      <c r="U34" s="1" t="s">
        <v>142</v>
      </c>
      <c r="V34" s="1" t="s">
        <v>142</v>
      </c>
      <c r="W34" s="1" t="s">
        <v>120</v>
      </c>
      <c r="X34" s="1" t="s">
        <v>127</v>
      </c>
      <c r="Y34" s="1" t="s">
        <v>120</v>
      </c>
      <c r="Z34" s="1" t="s">
        <v>119</v>
      </c>
      <c r="AA34" s="1" t="s">
        <v>119</v>
      </c>
      <c r="AB34" s="1" t="s">
        <v>128</v>
      </c>
      <c r="AC34" s="1" t="s">
        <v>142</v>
      </c>
      <c r="AD34" s="1" t="s">
        <v>129</v>
      </c>
      <c r="AE34" s="1" t="s">
        <v>119</v>
      </c>
      <c r="AF34" s="1" t="s">
        <v>131</v>
      </c>
      <c r="AG34" s="1" t="s">
        <v>47</v>
      </c>
      <c r="AH34" s="1" t="s">
        <v>134</v>
      </c>
      <c r="AI34" s="1" t="s">
        <v>147</v>
      </c>
      <c r="AJ34" s="1" t="s">
        <v>134</v>
      </c>
      <c r="AK34" s="1" t="s">
        <v>131</v>
      </c>
      <c r="AL34" s="1" t="s">
        <v>138</v>
      </c>
      <c r="AM34" s="1" t="s">
        <v>159</v>
      </c>
      <c r="AN34" s="1" t="s">
        <v>39</v>
      </c>
      <c r="AO34" s="1" t="s">
        <v>142</v>
      </c>
      <c r="AP34" s="1" t="s">
        <v>143</v>
      </c>
      <c r="AQ34" s="1" t="s">
        <v>38</v>
      </c>
      <c r="AR34" s="1" t="s">
        <v>152</v>
      </c>
      <c r="AS34" s="1" t="s">
        <v>153</v>
      </c>
      <c r="AT34" s="1" t="s">
        <v>138</v>
      </c>
    </row>
    <row r="35" spans="1:46" x14ac:dyDescent="0.25">
      <c r="A35" s="1" t="s">
        <v>29</v>
      </c>
      <c r="B35" s="1" t="s">
        <v>164</v>
      </c>
      <c r="C35" s="1" t="s">
        <v>93</v>
      </c>
      <c r="D35" s="1" t="s">
        <v>387</v>
      </c>
      <c r="E35" s="1" t="s">
        <v>161</v>
      </c>
      <c r="F35" s="1" t="s">
        <v>163</v>
      </c>
      <c r="G35" s="1" t="s">
        <v>388</v>
      </c>
      <c r="H35" s="1" t="s">
        <v>100</v>
      </c>
      <c r="I35" s="1" t="s">
        <v>389</v>
      </c>
      <c r="J35" s="1" t="s">
        <v>390</v>
      </c>
      <c r="K35" s="1" t="s">
        <v>162</v>
      </c>
      <c r="L35" s="1" t="s">
        <v>160</v>
      </c>
      <c r="M35" s="1" t="s">
        <v>380</v>
      </c>
      <c r="N35" s="1" t="s">
        <v>108</v>
      </c>
      <c r="O35" s="1" t="s">
        <v>109</v>
      </c>
      <c r="P35" s="1" t="s">
        <v>112</v>
      </c>
      <c r="Q35" s="1" t="s">
        <v>112</v>
      </c>
      <c r="R35" s="1" t="s">
        <v>167</v>
      </c>
      <c r="S35" s="1" t="s">
        <v>167</v>
      </c>
      <c r="T35" s="1" t="s">
        <v>167</v>
      </c>
      <c r="U35" s="1" t="s">
        <v>142</v>
      </c>
      <c r="V35" s="1" t="s">
        <v>142</v>
      </c>
      <c r="W35" s="1" t="s">
        <v>120</v>
      </c>
      <c r="X35" s="1" t="s">
        <v>127</v>
      </c>
      <c r="Y35" s="1" t="s">
        <v>120</v>
      </c>
      <c r="Z35" s="1" t="s">
        <v>119</v>
      </c>
      <c r="AA35" s="1" t="s">
        <v>119</v>
      </c>
      <c r="AB35" s="1" t="s">
        <v>128</v>
      </c>
      <c r="AC35" s="1" t="s">
        <v>142</v>
      </c>
      <c r="AD35" s="1" t="s">
        <v>129</v>
      </c>
      <c r="AE35" s="1" t="s">
        <v>119</v>
      </c>
      <c r="AF35" s="1" t="s">
        <v>131</v>
      </c>
      <c r="AG35" s="1" t="s">
        <v>47</v>
      </c>
      <c r="AH35" s="1" t="s">
        <v>134</v>
      </c>
      <c r="AI35" s="1" t="s">
        <v>147</v>
      </c>
      <c r="AJ35" s="1" t="s">
        <v>134</v>
      </c>
      <c r="AK35" s="1" t="s">
        <v>131</v>
      </c>
      <c r="AL35" s="1" t="s">
        <v>138</v>
      </c>
      <c r="AM35" s="1" t="s">
        <v>159</v>
      </c>
      <c r="AN35" s="1" t="s">
        <v>39</v>
      </c>
      <c r="AO35" s="1" t="s">
        <v>142</v>
      </c>
      <c r="AP35" s="1" t="s">
        <v>143</v>
      </c>
      <c r="AQ35" s="1" t="s">
        <v>38</v>
      </c>
      <c r="AR35" s="1" t="s">
        <v>152</v>
      </c>
      <c r="AS35" s="1" t="s">
        <v>153</v>
      </c>
      <c r="AT35" s="1" t="s">
        <v>138</v>
      </c>
    </row>
    <row r="36" spans="1:46" x14ac:dyDescent="0.25">
      <c r="A36" s="1" t="s">
        <v>29</v>
      </c>
      <c r="B36" s="1" t="s">
        <v>164</v>
      </c>
      <c r="C36" s="1" t="s">
        <v>93</v>
      </c>
      <c r="D36" s="1" t="s">
        <v>391</v>
      </c>
      <c r="E36" s="1" t="s">
        <v>161</v>
      </c>
      <c r="F36" s="1" t="s">
        <v>163</v>
      </c>
      <c r="G36" s="1" t="s">
        <v>392</v>
      </c>
      <c r="H36" s="1" t="s">
        <v>100</v>
      </c>
      <c r="I36" s="1" t="s">
        <v>393</v>
      </c>
      <c r="J36" s="1" t="s">
        <v>394</v>
      </c>
      <c r="K36" s="1" t="s">
        <v>162</v>
      </c>
      <c r="L36" s="1" t="s">
        <v>160</v>
      </c>
      <c r="M36" s="1" t="s">
        <v>384</v>
      </c>
      <c r="N36" s="1" t="s">
        <v>108</v>
      </c>
      <c r="O36" s="1" t="s">
        <v>109</v>
      </c>
      <c r="P36" s="1" t="s">
        <v>112</v>
      </c>
      <c r="Q36" s="1" t="s">
        <v>112</v>
      </c>
      <c r="R36" s="1" t="s">
        <v>167</v>
      </c>
      <c r="S36" s="1" t="s">
        <v>167</v>
      </c>
      <c r="T36" s="1" t="s">
        <v>167</v>
      </c>
      <c r="U36" s="1" t="s">
        <v>142</v>
      </c>
      <c r="V36" s="1" t="s">
        <v>142</v>
      </c>
      <c r="W36" s="1" t="s">
        <v>120</v>
      </c>
      <c r="X36" s="1" t="s">
        <v>127</v>
      </c>
      <c r="Y36" s="1" t="s">
        <v>120</v>
      </c>
      <c r="Z36" s="1" t="s">
        <v>119</v>
      </c>
      <c r="AA36" s="1" t="s">
        <v>119</v>
      </c>
      <c r="AB36" s="1" t="s">
        <v>128</v>
      </c>
      <c r="AC36" s="1" t="s">
        <v>142</v>
      </c>
      <c r="AD36" s="1" t="s">
        <v>129</v>
      </c>
      <c r="AE36" s="1" t="s">
        <v>119</v>
      </c>
      <c r="AF36" s="1" t="s">
        <v>131</v>
      </c>
      <c r="AG36" s="1" t="s">
        <v>47</v>
      </c>
      <c r="AH36" s="1" t="s">
        <v>134</v>
      </c>
      <c r="AI36" s="1" t="s">
        <v>147</v>
      </c>
      <c r="AJ36" s="1" t="s">
        <v>134</v>
      </c>
      <c r="AK36" s="1" t="s">
        <v>131</v>
      </c>
      <c r="AL36" s="1" t="s">
        <v>138</v>
      </c>
      <c r="AM36" s="1" t="s">
        <v>159</v>
      </c>
      <c r="AN36" s="1" t="s">
        <v>39</v>
      </c>
      <c r="AO36" s="1" t="s">
        <v>142</v>
      </c>
      <c r="AP36" s="1" t="s">
        <v>143</v>
      </c>
      <c r="AQ36" s="1" t="s">
        <v>38</v>
      </c>
      <c r="AR36" s="1" t="s">
        <v>152</v>
      </c>
      <c r="AS36" s="1" t="s">
        <v>153</v>
      </c>
      <c r="AT36" s="1" t="s">
        <v>138</v>
      </c>
    </row>
    <row r="37" spans="1:46" x14ac:dyDescent="0.25">
      <c r="A37" s="1" t="s">
        <v>29</v>
      </c>
      <c r="B37" s="1" t="s">
        <v>164</v>
      </c>
      <c r="C37" s="1" t="s">
        <v>93</v>
      </c>
      <c r="D37" s="1" t="s">
        <v>395</v>
      </c>
      <c r="E37" s="1" t="s">
        <v>161</v>
      </c>
      <c r="F37" s="1" t="s">
        <v>163</v>
      </c>
      <c r="G37" s="1" t="s">
        <v>396</v>
      </c>
      <c r="H37" s="1" t="s">
        <v>100</v>
      </c>
      <c r="I37" s="1" t="s">
        <v>397</v>
      </c>
      <c r="J37" s="1" t="s">
        <v>398</v>
      </c>
      <c r="K37" s="1" t="s">
        <v>162</v>
      </c>
      <c r="L37" s="1" t="s">
        <v>160</v>
      </c>
      <c r="M37" s="1" t="s">
        <v>388</v>
      </c>
      <c r="N37" s="1" t="s">
        <v>108</v>
      </c>
      <c r="O37" s="1" t="s">
        <v>109</v>
      </c>
      <c r="P37" s="1" t="s">
        <v>112</v>
      </c>
      <c r="Q37" s="1" t="s">
        <v>112</v>
      </c>
      <c r="R37" s="1" t="s">
        <v>167</v>
      </c>
      <c r="S37" s="1" t="s">
        <v>167</v>
      </c>
      <c r="T37" s="1" t="s">
        <v>167</v>
      </c>
      <c r="U37" s="1" t="s">
        <v>142</v>
      </c>
      <c r="V37" s="1" t="s">
        <v>142</v>
      </c>
      <c r="W37" s="1" t="s">
        <v>120</v>
      </c>
      <c r="X37" s="1" t="s">
        <v>127</v>
      </c>
      <c r="Y37" s="1" t="s">
        <v>120</v>
      </c>
      <c r="Z37" s="1" t="s">
        <v>119</v>
      </c>
      <c r="AA37" s="1" t="s">
        <v>119</v>
      </c>
      <c r="AB37" s="1" t="s">
        <v>128</v>
      </c>
      <c r="AC37" s="1" t="s">
        <v>142</v>
      </c>
      <c r="AD37" s="1" t="s">
        <v>129</v>
      </c>
      <c r="AE37" s="1" t="s">
        <v>119</v>
      </c>
      <c r="AF37" s="1" t="s">
        <v>131</v>
      </c>
      <c r="AG37" s="1" t="s">
        <v>47</v>
      </c>
      <c r="AH37" s="1" t="s">
        <v>134</v>
      </c>
      <c r="AI37" s="1" t="s">
        <v>147</v>
      </c>
      <c r="AJ37" s="1" t="s">
        <v>134</v>
      </c>
      <c r="AK37" s="1" t="s">
        <v>131</v>
      </c>
      <c r="AL37" s="1" t="s">
        <v>138</v>
      </c>
      <c r="AM37" s="1" t="s">
        <v>159</v>
      </c>
      <c r="AN37" s="1" t="s">
        <v>39</v>
      </c>
      <c r="AO37" s="1" t="s">
        <v>142</v>
      </c>
      <c r="AP37" s="1" t="s">
        <v>143</v>
      </c>
      <c r="AQ37" s="1" t="s">
        <v>38</v>
      </c>
      <c r="AR37" s="1" t="s">
        <v>152</v>
      </c>
      <c r="AS37" s="1" t="s">
        <v>153</v>
      </c>
      <c r="AT37" s="1" t="s">
        <v>138</v>
      </c>
    </row>
    <row r="38" spans="1:46" x14ac:dyDescent="0.25">
      <c r="A38" s="1" t="s">
        <v>29</v>
      </c>
      <c r="B38" s="1" t="s">
        <v>164</v>
      </c>
      <c r="C38" s="1" t="s">
        <v>93</v>
      </c>
      <c r="D38" s="1" t="s">
        <v>399</v>
      </c>
      <c r="E38" s="1" t="s">
        <v>161</v>
      </c>
      <c r="F38" s="1" t="s">
        <v>163</v>
      </c>
      <c r="G38" s="1" t="s">
        <v>400</v>
      </c>
      <c r="H38" s="1" t="s">
        <v>100</v>
      </c>
      <c r="I38" s="1" t="s">
        <v>401</v>
      </c>
      <c r="J38" s="1" t="s">
        <v>402</v>
      </c>
      <c r="K38" s="1" t="s">
        <v>162</v>
      </c>
      <c r="L38" s="1" t="s">
        <v>160</v>
      </c>
      <c r="M38" s="1" t="s">
        <v>392</v>
      </c>
      <c r="N38" s="1" t="s">
        <v>108</v>
      </c>
      <c r="O38" s="1" t="s">
        <v>109</v>
      </c>
      <c r="P38" s="1" t="s">
        <v>112</v>
      </c>
      <c r="Q38" s="1" t="s">
        <v>112</v>
      </c>
      <c r="R38" s="1" t="s">
        <v>167</v>
      </c>
      <c r="S38" s="1" t="s">
        <v>167</v>
      </c>
      <c r="T38" s="1" t="s">
        <v>167</v>
      </c>
      <c r="U38" s="1" t="s">
        <v>142</v>
      </c>
      <c r="V38" s="1" t="s">
        <v>142</v>
      </c>
      <c r="W38" s="1" t="s">
        <v>120</v>
      </c>
      <c r="X38" s="1" t="s">
        <v>127</v>
      </c>
      <c r="Y38" s="1" t="s">
        <v>120</v>
      </c>
      <c r="Z38" s="1" t="s">
        <v>119</v>
      </c>
      <c r="AA38" s="1" t="s">
        <v>119</v>
      </c>
      <c r="AB38" s="1" t="s">
        <v>128</v>
      </c>
      <c r="AC38" s="1" t="s">
        <v>142</v>
      </c>
      <c r="AD38" s="1" t="s">
        <v>129</v>
      </c>
      <c r="AE38" s="1" t="s">
        <v>119</v>
      </c>
      <c r="AF38" s="1" t="s">
        <v>131</v>
      </c>
      <c r="AG38" s="1" t="s">
        <v>47</v>
      </c>
      <c r="AH38" s="1" t="s">
        <v>134</v>
      </c>
      <c r="AI38" s="1" t="s">
        <v>147</v>
      </c>
      <c r="AJ38" s="1" t="s">
        <v>134</v>
      </c>
      <c r="AK38" s="1" t="s">
        <v>131</v>
      </c>
      <c r="AL38" s="1" t="s">
        <v>138</v>
      </c>
      <c r="AM38" s="1" t="s">
        <v>159</v>
      </c>
      <c r="AN38" s="1" t="s">
        <v>39</v>
      </c>
      <c r="AO38" s="1" t="s">
        <v>142</v>
      </c>
      <c r="AP38" s="1" t="s">
        <v>143</v>
      </c>
      <c r="AQ38" s="1" t="s">
        <v>38</v>
      </c>
      <c r="AR38" s="1" t="s">
        <v>152</v>
      </c>
      <c r="AS38" s="1" t="s">
        <v>153</v>
      </c>
      <c r="AT38" s="1" t="s">
        <v>138</v>
      </c>
    </row>
    <row r="39" spans="1:46" x14ac:dyDescent="0.25">
      <c r="A39" s="1" t="s">
        <v>29</v>
      </c>
      <c r="B39" s="1" t="s">
        <v>164</v>
      </c>
      <c r="C39" s="1" t="s">
        <v>93</v>
      </c>
      <c r="D39" s="1" t="s">
        <v>403</v>
      </c>
      <c r="E39" s="1" t="s">
        <v>161</v>
      </c>
      <c r="F39" s="1" t="s">
        <v>163</v>
      </c>
      <c r="G39" s="1" t="s">
        <v>404</v>
      </c>
      <c r="H39" s="1" t="s">
        <v>100</v>
      </c>
      <c r="I39" s="1" t="s">
        <v>405</v>
      </c>
      <c r="J39" s="1" t="s">
        <v>406</v>
      </c>
      <c r="K39" s="1" t="s">
        <v>162</v>
      </c>
      <c r="L39" s="1" t="s">
        <v>160</v>
      </c>
      <c r="M39" s="1" t="s">
        <v>396</v>
      </c>
      <c r="N39" s="1" t="s">
        <v>108</v>
      </c>
      <c r="O39" s="1" t="s">
        <v>109</v>
      </c>
      <c r="P39" s="1" t="s">
        <v>112</v>
      </c>
      <c r="Q39" s="1" t="s">
        <v>112</v>
      </c>
      <c r="R39" s="1" t="s">
        <v>167</v>
      </c>
      <c r="S39" s="1" t="s">
        <v>167</v>
      </c>
      <c r="T39" s="1" t="s">
        <v>167</v>
      </c>
      <c r="U39" s="1" t="s">
        <v>142</v>
      </c>
      <c r="V39" s="1" t="s">
        <v>142</v>
      </c>
      <c r="W39" s="1" t="s">
        <v>120</v>
      </c>
      <c r="X39" s="1" t="s">
        <v>127</v>
      </c>
      <c r="Y39" s="1" t="s">
        <v>120</v>
      </c>
      <c r="Z39" s="1" t="s">
        <v>119</v>
      </c>
      <c r="AA39" s="1" t="s">
        <v>119</v>
      </c>
      <c r="AB39" s="1" t="s">
        <v>128</v>
      </c>
      <c r="AC39" s="1" t="s">
        <v>142</v>
      </c>
      <c r="AD39" s="1" t="s">
        <v>129</v>
      </c>
      <c r="AE39" s="1" t="s">
        <v>119</v>
      </c>
      <c r="AF39" s="1" t="s">
        <v>131</v>
      </c>
      <c r="AG39" s="1" t="s">
        <v>47</v>
      </c>
      <c r="AH39" s="1" t="s">
        <v>134</v>
      </c>
      <c r="AI39" s="1" t="s">
        <v>147</v>
      </c>
      <c r="AJ39" s="1" t="s">
        <v>134</v>
      </c>
      <c r="AK39" s="1" t="s">
        <v>131</v>
      </c>
      <c r="AL39" s="1" t="s">
        <v>138</v>
      </c>
      <c r="AM39" s="1" t="s">
        <v>159</v>
      </c>
      <c r="AN39" s="1" t="s">
        <v>39</v>
      </c>
      <c r="AO39" s="1" t="s">
        <v>142</v>
      </c>
      <c r="AP39" s="1" t="s">
        <v>143</v>
      </c>
      <c r="AQ39" s="1" t="s">
        <v>38</v>
      </c>
      <c r="AR39" s="1" t="s">
        <v>152</v>
      </c>
      <c r="AS39" s="1" t="s">
        <v>153</v>
      </c>
      <c r="AT39" s="1" t="s">
        <v>138</v>
      </c>
    </row>
    <row r="40" spans="1:46" x14ac:dyDescent="0.25">
      <c r="A40" s="1" t="s">
        <v>29</v>
      </c>
      <c r="B40" s="1" t="s">
        <v>164</v>
      </c>
      <c r="C40" s="1" t="s">
        <v>93</v>
      </c>
      <c r="D40" s="1" t="s">
        <v>407</v>
      </c>
      <c r="E40" s="1" t="s">
        <v>161</v>
      </c>
      <c r="F40" s="1" t="s">
        <v>163</v>
      </c>
      <c r="G40" s="1" t="s">
        <v>408</v>
      </c>
      <c r="H40" s="1" t="s">
        <v>100</v>
      </c>
      <c r="I40" s="1" t="s">
        <v>409</v>
      </c>
      <c r="J40" s="1" t="s">
        <v>410</v>
      </c>
      <c r="K40" s="1" t="s">
        <v>162</v>
      </c>
      <c r="L40" s="1" t="s">
        <v>160</v>
      </c>
      <c r="M40" s="1" t="s">
        <v>400</v>
      </c>
      <c r="N40" s="1" t="s">
        <v>108</v>
      </c>
      <c r="O40" s="1" t="s">
        <v>109</v>
      </c>
      <c r="P40" s="1" t="s">
        <v>112</v>
      </c>
      <c r="Q40" s="1" t="s">
        <v>112</v>
      </c>
      <c r="R40" s="1" t="s">
        <v>167</v>
      </c>
      <c r="S40" s="1" t="s">
        <v>167</v>
      </c>
      <c r="T40" s="1" t="s">
        <v>167</v>
      </c>
      <c r="U40" s="1" t="s">
        <v>142</v>
      </c>
      <c r="V40" s="1" t="s">
        <v>142</v>
      </c>
      <c r="W40" s="1" t="s">
        <v>120</v>
      </c>
      <c r="X40" s="1" t="s">
        <v>127</v>
      </c>
      <c r="Y40" s="1" t="s">
        <v>120</v>
      </c>
      <c r="Z40" s="1" t="s">
        <v>119</v>
      </c>
      <c r="AA40" s="1" t="s">
        <v>119</v>
      </c>
      <c r="AB40" s="1" t="s">
        <v>128</v>
      </c>
      <c r="AC40" s="1" t="s">
        <v>142</v>
      </c>
      <c r="AD40" s="1" t="s">
        <v>129</v>
      </c>
      <c r="AE40" s="1" t="s">
        <v>119</v>
      </c>
      <c r="AF40" s="1" t="s">
        <v>131</v>
      </c>
      <c r="AG40" s="1" t="s">
        <v>47</v>
      </c>
      <c r="AH40" s="1" t="s">
        <v>134</v>
      </c>
      <c r="AI40" s="1" t="s">
        <v>147</v>
      </c>
      <c r="AJ40" s="1" t="s">
        <v>134</v>
      </c>
      <c r="AK40" s="1" t="s">
        <v>131</v>
      </c>
      <c r="AL40" s="1" t="s">
        <v>138</v>
      </c>
      <c r="AM40" s="1" t="s">
        <v>159</v>
      </c>
      <c r="AN40" s="1" t="s">
        <v>39</v>
      </c>
      <c r="AO40" s="1" t="s">
        <v>142</v>
      </c>
      <c r="AP40" s="1" t="s">
        <v>143</v>
      </c>
      <c r="AQ40" s="1" t="s">
        <v>38</v>
      </c>
      <c r="AR40" s="1" t="s">
        <v>152</v>
      </c>
      <c r="AS40" s="1" t="s">
        <v>153</v>
      </c>
      <c r="AT40" s="1" t="s">
        <v>138</v>
      </c>
    </row>
    <row r="41" spans="1:46" x14ac:dyDescent="0.25">
      <c r="A41" s="1" t="s">
        <v>29</v>
      </c>
      <c r="B41" s="1" t="s">
        <v>164</v>
      </c>
      <c r="C41" s="1" t="s">
        <v>93</v>
      </c>
      <c r="D41" s="1" t="s">
        <v>411</v>
      </c>
      <c r="E41" s="1" t="s">
        <v>161</v>
      </c>
      <c r="F41" s="1" t="s">
        <v>163</v>
      </c>
      <c r="G41" s="1" t="s">
        <v>412</v>
      </c>
      <c r="H41" s="1" t="s">
        <v>100</v>
      </c>
      <c r="I41" s="1" t="s">
        <v>413</v>
      </c>
      <c r="J41" s="1" t="s">
        <v>414</v>
      </c>
      <c r="K41" s="1" t="s">
        <v>162</v>
      </c>
      <c r="L41" s="1" t="s">
        <v>160</v>
      </c>
      <c r="M41" s="1" t="s">
        <v>404</v>
      </c>
      <c r="N41" s="1" t="s">
        <v>108</v>
      </c>
      <c r="O41" s="1" t="s">
        <v>109</v>
      </c>
      <c r="P41" s="1" t="s">
        <v>112</v>
      </c>
      <c r="Q41" s="1" t="s">
        <v>112</v>
      </c>
      <c r="R41" s="1" t="s">
        <v>167</v>
      </c>
      <c r="S41" s="1" t="s">
        <v>167</v>
      </c>
      <c r="T41" s="1" t="s">
        <v>167</v>
      </c>
      <c r="U41" s="1" t="s">
        <v>142</v>
      </c>
      <c r="V41" s="1" t="s">
        <v>142</v>
      </c>
      <c r="W41" s="1" t="s">
        <v>120</v>
      </c>
      <c r="X41" s="1" t="s">
        <v>127</v>
      </c>
      <c r="Y41" s="1" t="s">
        <v>120</v>
      </c>
      <c r="Z41" s="1" t="s">
        <v>119</v>
      </c>
      <c r="AA41" s="1" t="s">
        <v>119</v>
      </c>
      <c r="AB41" s="1" t="s">
        <v>128</v>
      </c>
      <c r="AC41" s="1" t="s">
        <v>142</v>
      </c>
      <c r="AD41" s="1" t="s">
        <v>129</v>
      </c>
      <c r="AE41" s="1" t="s">
        <v>119</v>
      </c>
      <c r="AF41" s="1" t="s">
        <v>131</v>
      </c>
      <c r="AG41" s="1" t="s">
        <v>47</v>
      </c>
      <c r="AH41" s="1" t="s">
        <v>134</v>
      </c>
      <c r="AI41" s="1" t="s">
        <v>147</v>
      </c>
      <c r="AJ41" s="1" t="s">
        <v>134</v>
      </c>
      <c r="AK41" s="1" t="s">
        <v>131</v>
      </c>
      <c r="AL41" s="1" t="s">
        <v>138</v>
      </c>
      <c r="AM41" s="1" t="s">
        <v>159</v>
      </c>
      <c r="AN41" s="1" t="s">
        <v>39</v>
      </c>
      <c r="AO41" s="1" t="s">
        <v>142</v>
      </c>
      <c r="AP41" s="1" t="s">
        <v>143</v>
      </c>
      <c r="AQ41" s="1" t="s">
        <v>38</v>
      </c>
      <c r="AR41" s="1" t="s">
        <v>152</v>
      </c>
      <c r="AS41" s="1" t="s">
        <v>153</v>
      </c>
      <c r="AT41" s="1" t="s">
        <v>138</v>
      </c>
    </row>
    <row r="42" spans="1:46" x14ac:dyDescent="0.25">
      <c r="A42" s="1" t="s">
        <v>29</v>
      </c>
      <c r="B42" s="1" t="s">
        <v>164</v>
      </c>
      <c r="C42" s="1" t="s">
        <v>93</v>
      </c>
      <c r="D42" s="1" t="s">
        <v>415</v>
      </c>
      <c r="E42" s="1" t="s">
        <v>161</v>
      </c>
      <c r="F42" s="1" t="s">
        <v>163</v>
      </c>
      <c r="G42" s="1" t="s">
        <v>416</v>
      </c>
      <c r="H42" s="1" t="s">
        <v>100</v>
      </c>
      <c r="I42" s="1" t="s">
        <v>417</v>
      </c>
      <c r="J42" s="1" t="s">
        <v>418</v>
      </c>
      <c r="K42" s="1" t="s">
        <v>162</v>
      </c>
      <c r="L42" s="1" t="s">
        <v>160</v>
      </c>
      <c r="M42" s="1" t="s">
        <v>408</v>
      </c>
      <c r="N42" s="1" t="s">
        <v>108</v>
      </c>
      <c r="O42" s="1" t="s">
        <v>109</v>
      </c>
      <c r="P42" s="1" t="s">
        <v>112</v>
      </c>
      <c r="Q42" s="1" t="s">
        <v>112</v>
      </c>
      <c r="R42" s="1" t="s">
        <v>167</v>
      </c>
      <c r="S42" s="1" t="s">
        <v>167</v>
      </c>
      <c r="T42" s="1" t="s">
        <v>167</v>
      </c>
      <c r="U42" s="1" t="s">
        <v>142</v>
      </c>
      <c r="V42" s="1" t="s">
        <v>142</v>
      </c>
      <c r="W42" s="1" t="s">
        <v>120</v>
      </c>
      <c r="X42" s="1" t="s">
        <v>127</v>
      </c>
      <c r="Y42" s="1" t="s">
        <v>120</v>
      </c>
      <c r="Z42" s="1" t="s">
        <v>119</v>
      </c>
      <c r="AA42" s="1" t="s">
        <v>119</v>
      </c>
      <c r="AB42" s="1" t="s">
        <v>128</v>
      </c>
      <c r="AC42" s="1" t="s">
        <v>142</v>
      </c>
      <c r="AD42" s="1" t="s">
        <v>129</v>
      </c>
      <c r="AE42" s="1" t="s">
        <v>119</v>
      </c>
      <c r="AF42" s="1" t="s">
        <v>131</v>
      </c>
      <c r="AG42" s="1" t="s">
        <v>47</v>
      </c>
      <c r="AH42" s="1" t="s">
        <v>134</v>
      </c>
      <c r="AI42" s="1" t="s">
        <v>147</v>
      </c>
      <c r="AJ42" s="1" t="s">
        <v>134</v>
      </c>
      <c r="AK42" s="1" t="s">
        <v>131</v>
      </c>
      <c r="AL42" s="1" t="s">
        <v>138</v>
      </c>
      <c r="AM42" s="1" t="s">
        <v>159</v>
      </c>
      <c r="AN42" s="1" t="s">
        <v>39</v>
      </c>
      <c r="AO42" s="1" t="s">
        <v>142</v>
      </c>
      <c r="AP42" s="1" t="s">
        <v>143</v>
      </c>
      <c r="AQ42" s="1" t="s">
        <v>38</v>
      </c>
      <c r="AR42" s="1" t="s">
        <v>152</v>
      </c>
      <c r="AS42" s="1" t="s">
        <v>153</v>
      </c>
      <c r="AT42" s="1" t="s">
        <v>138</v>
      </c>
    </row>
    <row r="43" spans="1:46"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row>
    <row r="44" spans="1:46"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row>
    <row r="45" spans="1:46"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row>
    <row r="46" spans="1:46"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row>
    <row r="47" spans="1:46"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row>
    <row r="48" spans="1:46"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row>
    <row r="49" spans="1:46"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row>
    <row r="50" spans="1:46"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row>
    <row r="51" spans="1:46"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row>
    <row r="52" spans="1:46"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row>
    <row r="53" spans="1:46"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row>
    <row r="54" spans="1:46"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row>
    <row r="55" spans="1:46"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row>
    <row r="56" spans="1:46"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row>
    <row r="57" spans="1:46"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row>
    <row r="58" spans="1:46"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row>
    <row r="59" spans="1:46"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row>
    <row r="60" spans="1:46"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row>
    <row r="61" spans="1:46"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row>
    <row r="62" spans="1:46"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row>
    <row r="63" spans="1:46"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row>
    <row r="64" spans="1:46"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row>
    <row r="65" spans="1:46"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row>
    <row r="66" spans="1:46"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row>
    <row r="67" spans="1:46"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row>
    <row r="68" spans="1:46"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row>
    <row r="69" spans="1:46"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row>
    <row r="70" spans="1:46"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row>
    <row r="71" spans="1:46"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row>
    <row r="72" spans="1:46"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row>
    <row r="73" spans="1:46"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row>
    <row r="74" spans="1:46"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row>
    <row r="75" spans="1:46"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row>
    <row r="76" spans="1:46"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row>
    <row r="77" spans="1:46"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row>
    <row r="78" spans="1:46"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row>
    <row r="79" spans="1:46"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row>
    <row r="80" spans="1:46"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row>
    <row r="81" spans="1:46"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row>
    <row r="82" spans="1:46"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row>
    <row r="83" spans="1:46"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row>
    <row r="84" spans="1:46"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row>
    <row r="85" spans="1:46"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row>
    <row r="86" spans="1:46"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row>
    <row r="87" spans="1:46"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row>
    <row r="88" spans="1:46"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row>
    <row r="89" spans="1:46"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row>
    <row r="90" spans="1:46"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row>
    <row r="91" spans="1:46"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row>
    <row r="92" spans="1:46"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row>
    <row r="93" spans="1:46"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row>
    <row r="94" spans="1:46"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row>
    <row r="95" spans="1:46"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row>
    <row r="96" spans="1:46"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row>
    <row r="97" spans="1:46"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row>
    <row r="98" spans="1:46"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row>
    <row r="99" spans="1:46"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row>
    <row r="100" spans="1:46"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row>
    <row r="101" spans="1:46"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row>
    <row r="102" spans="1:46"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row>
    <row r="103" spans="1:4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row>
    <row r="104" spans="1:4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row>
    <row r="105" spans="1:4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row>
    <row r="106" spans="1:4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row>
    <row r="107" spans="1:4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row>
    <row r="108" spans="1:4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row>
    <row r="109" spans="1:4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row>
    <row r="110" spans="1:4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row>
    <row r="111" spans="1:4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row>
    <row r="112" spans="1:4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row>
    <row r="113" spans="1:4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row>
    <row r="114" spans="1:4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row>
    <row r="115" spans="1:4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row>
    <row r="116" spans="1:4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row>
    <row r="117" spans="1:4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row>
    <row r="118" spans="1:4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row>
    <row r="119" spans="1:4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row>
    <row r="120" spans="1:4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row>
    <row r="121" spans="1:4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row>
    <row r="122" spans="1:4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row>
    <row r="123" spans="1:4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row>
    <row r="124" spans="1:4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row>
    <row r="125" spans="1:4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row>
    <row r="126" spans="1:4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row>
    <row r="127" spans="1:4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row>
    <row r="128" spans="1:4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row>
    <row r="129" spans="1:4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row>
    <row r="130" spans="1:4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row>
    <row r="131" spans="1:4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row>
    <row r="132" spans="1:4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row>
    <row r="133" spans="1:4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row>
    <row r="134" spans="1:4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row>
    <row r="135" spans="1:4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row>
    <row r="136" spans="1:4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row>
    <row r="137" spans="1:4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row>
    <row r="138" spans="1:4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row>
    <row r="139" spans="1:4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row>
    <row r="140" spans="1:4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row>
    <row r="141" spans="1:4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row>
    <row r="142" spans="1:4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row>
    <row r="143" spans="1:4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row>
    <row r="144" spans="1:4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row>
    <row r="145" spans="1:4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row>
    <row r="146" spans="1:4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row>
    <row r="147" spans="1:4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row>
    <row r="148" spans="1:4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row>
    <row r="149" spans="1:4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row>
    <row r="150" spans="1:4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row>
    <row r="151" spans="1:4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row>
    <row r="152" spans="1:4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row>
    <row r="153" spans="1:4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row>
    <row r="154" spans="1:4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row>
    <row r="155" spans="1:4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row>
    <row r="156" spans="1:4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row>
    <row r="157" spans="1:4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row>
    <row r="158" spans="1:4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row>
    <row r="159" spans="1:4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row>
    <row r="160" spans="1:4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row>
    <row r="161" spans="1:4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row>
    <row r="162" spans="1:4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row>
    <row r="163" spans="1:4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row>
    <row r="164" spans="1:4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row>
    <row r="165" spans="1:4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row>
    <row r="166" spans="1:4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row>
    <row r="167" spans="1:4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row>
    <row r="168" spans="1:4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row>
    <row r="169" spans="1:4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row>
    <row r="170" spans="1:4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row>
    <row r="171" spans="1:4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row>
    <row r="172" spans="1:4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row>
    <row r="173" spans="1:4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row>
    <row r="174" spans="1:4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row>
    <row r="175" spans="1:4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row>
    <row r="176" spans="1:4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row>
    <row r="177" spans="1:4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row>
    <row r="178" spans="1:4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row>
    <row r="179" spans="1:4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row>
    <row r="180" spans="1:4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row>
    <row r="181" spans="1:4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row>
    <row r="182" spans="1:4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row>
    <row r="183" spans="1:4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row>
    <row r="184" spans="1:4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row>
    <row r="185" spans="1:4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row>
    <row r="186" spans="1:4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row>
    <row r="187" spans="1:4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row>
    <row r="188" spans="1:4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row>
    <row r="189" spans="1:4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row>
    <row r="190" spans="1:4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row>
    <row r="191" spans="1:4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row>
    <row r="192" spans="1:4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row>
    <row r="193" spans="1:4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row>
    <row r="194" spans="1:4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row>
    <row r="195" spans="1:4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row>
    <row r="196" spans="1:4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row>
    <row r="197" spans="1:4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row>
    <row r="198" spans="1:4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row>
    <row r="199" spans="1:4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row>
    <row r="200" spans="1:4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row>
    <row r="201" spans="1:4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row>
    <row r="202" spans="1:4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row>
    <row r="203" spans="1:4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row>
    <row r="204" spans="1:4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row>
    <row r="205" spans="1:4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row>
    <row r="206" spans="1:4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row>
    <row r="207" spans="1:4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row>
    <row r="208" spans="1:4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row>
    <row r="209" spans="1:4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row>
    <row r="210" spans="1:4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row>
    <row r="211" spans="1:4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row>
    <row r="212" spans="1:4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row>
    <row r="213" spans="1:4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row>
    <row r="214" spans="1:4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row>
    <row r="215" spans="1:4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row>
    <row r="216" spans="1:4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row>
    <row r="217" spans="1:4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row>
    <row r="218" spans="1:4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row>
    <row r="219" spans="1:4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row>
    <row r="220" spans="1:4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row>
    <row r="221" spans="1:4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row>
    <row r="222" spans="1:4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row>
    <row r="223" spans="1:4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row>
    <row r="224" spans="1:4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row>
    <row r="225" spans="1:4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row>
    <row r="226" spans="1:4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row>
    <row r="227" spans="1:4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row>
    <row r="228" spans="1:4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row>
    <row r="229" spans="1:4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row>
    <row r="230" spans="1:4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row>
    <row r="231" spans="1:4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row>
    <row r="232" spans="1:4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row>
    <row r="233" spans="1:4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row>
    <row r="234" spans="1:4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row>
    <row r="235" spans="1:4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row>
    <row r="236" spans="1:4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row>
    <row r="237" spans="1:4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row>
    <row r="238" spans="1:4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row>
    <row r="239" spans="1:4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row>
    <row r="240" spans="1:4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row>
    <row r="241" spans="1:4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row>
    <row r="242" spans="1:4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row>
    <row r="243" spans="1:4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row>
    <row r="244" spans="1:4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row>
    <row r="245" spans="1:4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row>
    <row r="246" spans="1:4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row>
    <row r="247" spans="1:4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row>
    <row r="248" spans="1:4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row>
    <row r="249" spans="1:4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row>
    <row r="250" spans="1:4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row>
    <row r="251" spans="1:4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row>
    <row r="252" spans="1:4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row>
    <row r="253" spans="1:4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row>
    <row r="254" spans="1:4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row>
    <row r="255" spans="1:4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row>
    <row r="256" spans="1:4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row>
    <row r="257" spans="1:4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row>
    <row r="258" spans="1:4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row>
    <row r="259" spans="1:4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row>
    <row r="260" spans="1:4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row>
    <row r="261" spans="1:46"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row>
    <row r="262" spans="1:46"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row>
    <row r="263" spans="1:46"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row>
    <row r="264" spans="1:46"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row>
    <row r="265" spans="1:46"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row>
    <row r="266" spans="1:46"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row>
    <row r="267" spans="1:46"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row>
    <row r="268" spans="1:46"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row>
    <row r="269" spans="1:46"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row>
    <row r="270" spans="1:46"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row>
    <row r="271" spans="1:46"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row>
    <row r="272" spans="1:46"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row>
    <row r="273" spans="1:46"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row>
    <row r="274" spans="1:46"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row>
    <row r="275" spans="1:46"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row>
    <row r="276" spans="1:46"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row>
    <row r="277" spans="1:46"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row>
    <row r="278" spans="1:46"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row>
    <row r="279" spans="1:46"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row>
    <row r="280" spans="1:46"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row>
    <row r="281" spans="1:46"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row>
    <row r="282" spans="1:46"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row>
    <row r="283" spans="1:46"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row>
    <row r="284" spans="1:46"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row>
    <row r="285" spans="1:46"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row>
    <row r="286" spans="1:46"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row>
    <row r="287" spans="1:46"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row>
    <row r="288" spans="1:46"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row>
    <row r="289" spans="1:46"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row>
    <row r="290" spans="1:46"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row>
    <row r="291" spans="1:46"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row>
    <row r="292" spans="1:46"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row>
    <row r="293" spans="1:46"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row>
    <row r="294" spans="1:46"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row>
    <row r="295" spans="1:46"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row>
    <row r="296" spans="1:46"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row>
    <row r="297" spans="1:46"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row>
    <row r="298" spans="1:46"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row>
    <row r="299" spans="1:46"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row>
    <row r="300" spans="1:46"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row>
    <row r="301" spans="1:46"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row>
    <row r="302" spans="1:46"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row>
    <row r="303" spans="1:46"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row>
    <row r="304" spans="1:46"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row>
    <row r="305" spans="1:46"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row>
    <row r="306" spans="1:46"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row>
    <row r="307" spans="1:46"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row>
    <row r="308" spans="1:46"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row>
    <row r="309" spans="1:46"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row>
    <row r="310" spans="1:46"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row>
    <row r="311" spans="1:46"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row>
    <row r="312" spans="1:46"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row>
    <row r="313" spans="1:46"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row>
    <row r="314" spans="1:46"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row>
    <row r="315" spans="1:46"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row>
    <row r="316" spans="1:46"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row>
    <row r="317" spans="1:46"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row>
    <row r="318" spans="1:46"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row>
    <row r="319" spans="1:46"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row>
    <row r="320" spans="1:46"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row>
    <row r="321" spans="1:46"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row>
    <row r="322" spans="1:46"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row>
    <row r="323" spans="1:46"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row>
    <row r="324" spans="1:46"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row>
    <row r="325" spans="1:46"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row>
    <row r="326" spans="1:46"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row>
    <row r="327" spans="1:46"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row>
    <row r="328" spans="1:46"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row>
    <row r="329" spans="1:46"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row>
    <row r="330" spans="1:46"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row>
    <row r="331" spans="1:46"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row>
    <row r="332" spans="1:46"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row>
    <row r="333" spans="1:46"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row>
    <row r="334" spans="1:46"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row>
    <row r="335" spans="1:46"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row>
    <row r="336" spans="1:46"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row>
    <row r="337" spans="1:46"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row>
    <row r="338" spans="1:46"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row>
    <row r="339" spans="1:46"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row>
    <row r="340" spans="1:46"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row>
    <row r="341" spans="1:46"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row>
    <row r="342" spans="1:46"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row>
    <row r="343" spans="1:46"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row>
    <row r="344" spans="1:46"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row>
    <row r="345" spans="1:46"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row>
    <row r="346" spans="1:46"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row>
    <row r="347" spans="1:46"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row>
    <row r="348" spans="1:46"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row>
    <row r="349" spans="1:46"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row>
    <row r="350" spans="1:46"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row>
    <row r="351" spans="1:46"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row>
    <row r="352" spans="1:46"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row>
    <row r="353" spans="1:46"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row>
    <row r="354" spans="1:46"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row>
    <row r="355" spans="1:46"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row>
    <row r="356" spans="1:46"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row>
    <row r="357" spans="1:46"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row>
    <row r="358" spans="1:46"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row>
    <row r="359" spans="1:46"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row>
    <row r="360" spans="1:46"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row>
    <row r="361" spans="1:46"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row>
    <row r="362" spans="1:46"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row>
    <row r="363" spans="1:46"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row>
    <row r="364" spans="1:46"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row>
    <row r="365" spans="1:46"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row>
    <row r="366" spans="1:46"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row>
    <row r="367" spans="1:46"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row>
    <row r="368" spans="1:46"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row>
    <row r="369" spans="1:46"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row>
    <row r="370" spans="1:46"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row>
    <row r="371" spans="1:46"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c r="AT371" s="1"/>
    </row>
    <row r="372" spans="1:46"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c r="AT372" s="1"/>
    </row>
    <row r="373" spans="1:46"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row>
    <row r="374" spans="1:46"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c r="AT374" s="1"/>
    </row>
    <row r="375" spans="1:46"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c r="AT375" s="1"/>
    </row>
    <row r="376" spans="1:46"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row>
    <row r="377" spans="1:46"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row>
    <row r="378" spans="1:46"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row>
    <row r="379" spans="1:46"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row>
    <row r="380" spans="1:46"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row>
    <row r="381" spans="1:46"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row>
    <row r="382" spans="1:46"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row>
    <row r="383" spans="1:46"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row>
    <row r="384" spans="1:46"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row>
    <row r="385" spans="1:46"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row>
    <row r="386" spans="1:46"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c r="AS386" s="1"/>
      <c r="AT386" s="1"/>
    </row>
    <row r="387" spans="1:46"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c r="AS387" s="1"/>
      <c r="AT387" s="1"/>
    </row>
    <row r="388" spans="1:46"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row>
    <row r="389" spans="1:46"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row>
    <row r="390" spans="1:46"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c r="AS390" s="1"/>
      <c r="AT390" s="1"/>
    </row>
    <row r="391" spans="1:46"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row>
    <row r="392" spans="1:46"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row>
    <row r="393" spans="1:46"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row>
    <row r="394" spans="1:46"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row>
    <row r="395" spans="1:46"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row>
    <row r="396" spans="1:46"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row>
    <row r="397" spans="1:46"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row>
    <row r="398" spans="1:46"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row>
    <row r="399" spans="1:46"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row>
    <row r="400" spans="1:46"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row>
    <row r="401" spans="1:46"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row>
    <row r="402" spans="1:46"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row>
    <row r="403" spans="1:46"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c r="AR403" s="1"/>
      <c r="AS403" s="1"/>
      <c r="AT403" s="1"/>
    </row>
    <row r="404" spans="1:46"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row>
    <row r="405" spans="1:46"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c r="AT405" s="1"/>
    </row>
    <row r="406" spans="1:46"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c r="AS406" s="1"/>
      <c r="AT406" s="1"/>
    </row>
    <row r="407" spans="1:46"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row>
    <row r="408" spans="1:46"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row>
    <row r="409" spans="1:46"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row>
    <row r="410" spans="1:46"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row>
    <row r="411" spans="1:46"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row>
    <row r="412" spans="1:46"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row>
    <row r="413" spans="1:46"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row>
    <row r="414" spans="1:46"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row>
    <row r="415" spans="1:46"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row>
    <row r="416" spans="1:46"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row>
    <row r="417" spans="1:46"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row>
    <row r="418" spans="1:46"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row>
    <row r="419" spans="1:46"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row>
    <row r="420" spans="1:46"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row>
    <row r="421" spans="1:46"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row>
    <row r="422" spans="1:46"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row>
    <row r="423" spans="1:46"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row>
    <row r="424" spans="1:46"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row>
    <row r="425" spans="1:46"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row>
    <row r="426" spans="1:46"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row>
    <row r="427" spans="1:46"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row>
    <row r="428" spans="1:46"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row>
    <row r="429" spans="1:46"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row>
    <row r="430" spans="1:46"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row>
    <row r="431" spans="1:46"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row>
    <row r="432" spans="1:46"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row>
    <row r="433" spans="1:46"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row>
    <row r="434" spans="1:46"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row>
    <row r="435" spans="1:46"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row>
    <row r="436" spans="1:46"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row>
    <row r="437" spans="1:46"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row>
    <row r="438" spans="1:46"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row>
    <row r="439" spans="1:46"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row>
    <row r="440" spans="1:46"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row>
    <row r="441" spans="1:46"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row>
    <row r="442" spans="1:46"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row>
    <row r="443" spans="1:46"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row>
    <row r="444" spans="1:46"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row>
    <row r="445" spans="1:46"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row>
    <row r="446" spans="1:46"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row>
    <row r="447" spans="1:46"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row>
    <row r="448" spans="1:46"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row>
    <row r="449" spans="1:46"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row>
    <row r="450" spans="1:46"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row>
    <row r="451" spans="1:46"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row>
    <row r="452" spans="1:46"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row>
    <row r="453" spans="1:46"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row>
    <row r="454" spans="1:46"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row>
    <row r="455" spans="1:46"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row>
    <row r="456" spans="1:46"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row>
    <row r="457" spans="1:46"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row>
    <row r="458" spans="1:46"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row>
    <row r="459" spans="1:46"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row>
    <row r="460" spans="1:46"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row>
    <row r="461" spans="1:46"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row>
    <row r="462" spans="1:46"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row>
    <row r="463" spans="1:46"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row>
    <row r="464" spans="1:46"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row>
    <row r="465" spans="1:46"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row>
    <row r="466" spans="1:46"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row>
    <row r="467" spans="1:46"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row>
    <row r="468" spans="1:46"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row>
    <row r="469" spans="1:46"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row>
    <row r="470" spans="1:46"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row>
    <row r="471" spans="1:46"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row>
    <row r="472" spans="1:46"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row>
    <row r="473" spans="1:46"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row>
    <row r="474" spans="1:46"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row>
    <row r="475" spans="1:46"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row>
    <row r="476" spans="1:46"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row>
    <row r="477" spans="1:46"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row>
    <row r="478" spans="1:46"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row>
    <row r="479" spans="1:46"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row>
    <row r="480" spans="1:46"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row>
    <row r="481" spans="1:46"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row>
    <row r="482" spans="1:46"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row>
    <row r="483" spans="1:46"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row>
    <row r="484" spans="1:46"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row>
    <row r="485" spans="1:46"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row>
    <row r="486" spans="1:46"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row>
    <row r="487" spans="1:46"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row>
    <row r="488" spans="1:46"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row>
    <row r="489" spans="1:46"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row>
    <row r="490" spans="1:46"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row>
    <row r="491" spans="1:46"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row>
    <row r="492" spans="1:46"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row>
    <row r="493" spans="1:46"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row>
    <row r="494" spans="1:46"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row>
    <row r="495" spans="1:46"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row>
    <row r="496" spans="1:46"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row>
    <row r="497" spans="1:46"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row>
    <row r="498" spans="1:46"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c r="AR498" s="1"/>
      <c r="AS498" s="1"/>
      <c r="AT498" s="1"/>
    </row>
    <row r="499" spans="1:46"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row>
    <row r="500" spans="1:46"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row>
    <row r="501" spans="1:46"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row>
    <row r="502" spans="1:46"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c r="AS502" s="1"/>
      <c r="AT502" s="1"/>
    </row>
    <row r="503" spans="1:46" x14ac:dyDescent="0.25">
      <c r="A503" s="1"/>
      <c r="B503" s="1"/>
      <c r="C503" s="1"/>
      <c r="D503" s="1"/>
      <c r="E503" s="1"/>
      <c r="F503" s="1"/>
      <c r="G503" s="1"/>
      <c r="H503" s="1"/>
      <c r="I503" s="1"/>
      <c r="J503" s="1"/>
      <c r="K503" s="1"/>
      <c r="L503" s="1"/>
      <c r="M503" s="1"/>
      <c r="N503" s="1"/>
      <c r="O503" s="1"/>
      <c r="P503" s="1"/>
      <c r="Q503" s="1"/>
      <c r="R503" s="1"/>
      <c r="S503" s="1"/>
      <c r="T503" s="1"/>
      <c r="U503" s="1"/>
    </row>
    <row r="504" spans="1:46" x14ac:dyDescent="0.25">
      <c r="A504" s="1"/>
      <c r="B504" s="1"/>
      <c r="C504" s="1"/>
      <c r="D504" s="1"/>
      <c r="E504" s="1"/>
      <c r="F504" s="1"/>
      <c r="G504" s="1"/>
      <c r="H504" s="1"/>
      <c r="I504" s="1"/>
      <c r="J504" s="1"/>
      <c r="K504" s="1"/>
      <c r="L504" s="1"/>
      <c r="M504" s="1"/>
      <c r="N504" s="1"/>
      <c r="O504" s="1"/>
      <c r="P504" s="1"/>
      <c r="Q504" s="1"/>
      <c r="R504" s="1"/>
      <c r="S504" s="1"/>
      <c r="T504" s="1"/>
      <c r="U504" s="1"/>
    </row>
    <row r="505" spans="1:46" x14ac:dyDescent="0.25">
      <c r="A505" s="1"/>
      <c r="B505" s="1"/>
      <c r="C505" s="1"/>
      <c r="D505" s="1"/>
      <c r="E505" s="1"/>
      <c r="F505" s="1"/>
      <c r="G505" s="1"/>
      <c r="H505" s="1"/>
      <c r="I505" s="1"/>
      <c r="J505" s="1"/>
      <c r="K505" s="1"/>
      <c r="L505" s="1"/>
      <c r="M505" s="1"/>
      <c r="N505" s="1"/>
      <c r="O505" s="1"/>
      <c r="P505" s="1"/>
      <c r="Q505" s="1"/>
      <c r="R505" s="1"/>
      <c r="S505" s="1"/>
      <c r="T505" s="1"/>
      <c r="U505" s="1"/>
    </row>
    <row r="506" spans="1:46" x14ac:dyDescent="0.25">
      <c r="A506" s="1"/>
      <c r="B506" s="1"/>
      <c r="C506" s="1"/>
      <c r="D506" s="1"/>
      <c r="E506" s="1"/>
      <c r="F506" s="1"/>
      <c r="G506" s="1"/>
      <c r="H506" s="1"/>
      <c r="I506" s="1"/>
      <c r="J506" s="1"/>
      <c r="K506" s="1"/>
      <c r="L506" s="1"/>
      <c r="M506" s="1"/>
      <c r="N506" s="1"/>
      <c r="O506" s="1"/>
      <c r="P506" s="1"/>
      <c r="Q506" s="1"/>
      <c r="R506" s="1"/>
      <c r="S506" s="1"/>
      <c r="T506" s="1"/>
      <c r="U506" s="1"/>
    </row>
    <row r="507" spans="1:46" x14ac:dyDescent="0.25">
      <c r="A507" s="1"/>
      <c r="B507" s="1"/>
      <c r="C507" s="1"/>
      <c r="D507" s="1"/>
      <c r="E507" s="1"/>
      <c r="F507" s="1"/>
      <c r="G507" s="1"/>
      <c r="H507" s="1"/>
      <c r="I507" s="1"/>
      <c r="J507" s="1"/>
      <c r="K507" s="1"/>
      <c r="L507" s="1"/>
      <c r="M507" s="1"/>
      <c r="N507" s="1"/>
      <c r="O507" s="1"/>
      <c r="P507" s="1"/>
      <c r="Q507" s="1"/>
      <c r="R507" s="1"/>
      <c r="S507" s="1"/>
      <c r="T507" s="1"/>
      <c r="U507" s="1"/>
    </row>
    <row r="508" spans="1:46" x14ac:dyDescent="0.25">
      <c r="A508" s="1"/>
      <c r="B508" s="1"/>
      <c r="C508" s="1"/>
      <c r="D508" s="1"/>
      <c r="E508" s="1"/>
      <c r="F508" s="1"/>
      <c r="G508" s="1"/>
      <c r="H508" s="1"/>
      <c r="I508" s="1"/>
      <c r="J508" s="1"/>
      <c r="K508" s="1"/>
      <c r="L508" s="1"/>
      <c r="M508" s="1"/>
      <c r="N508" s="1"/>
      <c r="O508" s="1"/>
      <c r="P508" s="1"/>
      <c r="Q508" s="1"/>
      <c r="R508" s="1"/>
      <c r="S508" s="1"/>
      <c r="T508" s="1"/>
      <c r="U508" s="1"/>
    </row>
    <row r="509" spans="1:46" x14ac:dyDescent="0.25">
      <c r="A509" s="1"/>
      <c r="B509" s="1"/>
      <c r="C509" s="1"/>
      <c r="D509" s="1"/>
      <c r="E509" s="1"/>
      <c r="F509" s="1"/>
      <c r="G509" s="1"/>
      <c r="H509" s="1"/>
      <c r="I509" s="1"/>
      <c r="J509" s="1"/>
      <c r="K509" s="1"/>
      <c r="L509" s="1"/>
      <c r="M509" s="1"/>
      <c r="N509" s="1"/>
      <c r="O509" s="1"/>
      <c r="P509" s="1"/>
      <c r="Q509" s="1"/>
      <c r="R509" s="1"/>
      <c r="S509" s="1"/>
      <c r="T509" s="1"/>
      <c r="U509" s="1"/>
    </row>
    <row r="510" spans="1:46" x14ac:dyDescent="0.25">
      <c r="A510" s="1"/>
      <c r="B510" s="1"/>
      <c r="C510" s="1"/>
      <c r="D510" s="1"/>
      <c r="E510" s="1"/>
      <c r="F510" s="1"/>
      <c r="G510" s="1"/>
      <c r="H510" s="1"/>
      <c r="I510" s="1"/>
      <c r="J510" s="1"/>
      <c r="K510" s="1"/>
      <c r="L510" s="1"/>
      <c r="M510" s="1"/>
      <c r="N510" s="1"/>
      <c r="O510" s="1"/>
      <c r="P510" s="1"/>
      <c r="Q510" s="1"/>
      <c r="R510" s="1"/>
      <c r="S510" s="1"/>
      <c r="T510" s="1"/>
      <c r="U510" s="1"/>
    </row>
    <row r="511" spans="1:46" x14ac:dyDescent="0.25">
      <c r="A511" s="1"/>
      <c r="B511" s="1"/>
      <c r="C511" s="1"/>
      <c r="D511" s="1"/>
      <c r="E511" s="1"/>
      <c r="F511" s="1"/>
      <c r="G511" s="1"/>
      <c r="H511" s="1"/>
      <c r="I511" s="1"/>
      <c r="J511" s="1"/>
      <c r="K511" s="1"/>
      <c r="L511" s="1"/>
      <c r="M511" s="1"/>
      <c r="N511" s="1"/>
      <c r="O511" s="1"/>
      <c r="P511" s="1"/>
      <c r="Q511" s="1"/>
      <c r="R511" s="1"/>
      <c r="S511" s="1"/>
      <c r="T511" s="1"/>
      <c r="U511" s="1"/>
    </row>
    <row r="512" spans="1:46" x14ac:dyDescent="0.25">
      <c r="A512" s="1"/>
      <c r="B512" s="1"/>
      <c r="C512" s="1"/>
      <c r="D512" s="1"/>
      <c r="E512" s="1"/>
      <c r="F512" s="1"/>
      <c r="G512" s="1"/>
      <c r="H512" s="1"/>
      <c r="I512" s="1"/>
      <c r="J512" s="1"/>
      <c r="K512" s="1"/>
      <c r="L512" s="1"/>
      <c r="M512" s="1"/>
      <c r="N512" s="1"/>
      <c r="O512" s="1"/>
      <c r="P512" s="1"/>
      <c r="Q512" s="1"/>
      <c r="R512" s="1"/>
      <c r="S512" s="1"/>
      <c r="T512" s="1"/>
      <c r="U512" s="1"/>
    </row>
    <row r="513" spans="1:21" x14ac:dyDescent="0.25">
      <c r="A513" s="1"/>
      <c r="B513" s="1"/>
      <c r="C513" s="1"/>
      <c r="D513" s="1"/>
      <c r="E513" s="1"/>
      <c r="F513" s="1"/>
      <c r="G513" s="1"/>
      <c r="H513" s="1"/>
      <c r="I513" s="1"/>
      <c r="J513" s="1"/>
      <c r="K513" s="1"/>
      <c r="L513" s="1"/>
      <c r="M513" s="1"/>
      <c r="N513" s="1"/>
      <c r="O513" s="1"/>
      <c r="P513" s="1"/>
      <c r="Q513" s="1"/>
      <c r="R513" s="1"/>
      <c r="S513" s="1"/>
      <c r="T513" s="1"/>
      <c r="U513" s="1"/>
    </row>
    <row r="514" spans="1:21" x14ac:dyDescent="0.25">
      <c r="A514" s="1"/>
      <c r="B514" s="1"/>
      <c r="C514" s="1"/>
      <c r="D514" s="1"/>
      <c r="E514" s="1"/>
      <c r="F514" s="1"/>
      <c r="G514" s="1"/>
      <c r="H514" s="1"/>
      <c r="I514" s="1"/>
      <c r="J514" s="1"/>
      <c r="K514" s="1"/>
      <c r="L514" s="1"/>
      <c r="M514" s="1"/>
      <c r="N514" s="1"/>
      <c r="O514" s="1"/>
      <c r="P514" s="1"/>
      <c r="Q514" s="1"/>
      <c r="R514" s="1"/>
      <c r="S514" s="1"/>
      <c r="T514" s="1"/>
      <c r="U514" s="1"/>
    </row>
    <row r="515" spans="1:21" x14ac:dyDescent="0.25">
      <c r="A515" s="1"/>
      <c r="B515" s="1"/>
      <c r="C515" s="1"/>
      <c r="D515" s="1"/>
      <c r="E515" s="1"/>
      <c r="F515" s="1"/>
      <c r="G515" s="1"/>
      <c r="H515" s="1"/>
      <c r="I515" s="1"/>
      <c r="J515" s="1"/>
      <c r="K515" s="1"/>
      <c r="L515" s="1"/>
      <c r="M515" s="1"/>
      <c r="N515" s="1"/>
      <c r="O515" s="1"/>
      <c r="P515" s="1"/>
      <c r="Q515" s="1"/>
      <c r="R515" s="1"/>
      <c r="S515" s="1"/>
      <c r="T515" s="1"/>
      <c r="U515" s="1"/>
    </row>
    <row r="516" spans="1:21" x14ac:dyDescent="0.25">
      <c r="A516" s="1"/>
      <c r="B516" s="1"/>
      <c r="C516" s="1"/>
      <c r="D516" s="1"/>
      <c r="E516" s="1"/>
      <c r="F516" s="1"/>
      <c r="G516" s="1"/>
      <c r="H516" s="1"/>
      <c r="I516" s="1"/>
      <c r="J516" s="1"/>
      <c r="K516" s="1"/>
      <c r="L516" s="1"/>
      <c r="M516" s="1"/>
      <c r="N516" s="1"/>
      <c r="O516" s="1"/>
      <c r="P516" s="1"/>
      <c r="Q516" s="1"/>
      <c r="R516" s="1"/>
      <c r="S516" s="1"/>
      <c r="T516" s="1"/>
      <c r="U516" s="1"/>
    </row>
    <row r="517" spans="1:21" x14ac:dyDescent="0.25">
      <c r="A517" s="1"/>
      <c r="B517" s="1"/>
      <c r="C517" s="1"/>
      <c r="D517" s="1"/>
      <c r="E517" s="1"/>
      <c r="F517" s="1"/>
      <c r="G517" s="1"/>
      <c r="H517" s="1"/>
      <c r="I517" s="1"/>
      <c r="J517" s="1"/>
      <c r="K517" s="1"/>
      <c r="L517" s="1"/>
      <c r="M517" s="1"/>
      <c r="N517" s="1"/>
      <c r="O517" s="1"/>
      <c r="P517" s="1"/>
      <c r="Q517" s="1"/>
      <c r="R517" s="1"/>
      <c r="S517" s="1"/>
      <c r="T517" s="1"/>
      <c r="U517" s="1"/>
    </row>
    <row r="518" spans="1:21" x14ac:dyDescent="0.25">
      <c r="A518" s="1"/>
      <c r="B518" s="1"/>
      <c r="C518" s="1"/>
      <c r="D518" s="1"/>
      <c r="E518" s="1"/>
      <c r="F518" s="1"/>
      <c r="G518" s="1"/>
      <c r="H518" s="1"/>
      <c r="I518" s="1"/>
      <c r="J518" s="1"/>
      <c r="K518" s="1"/>
      <c r="L518" s="1"/>
      <c r="M518" s="1"/>
      <c r="N518" s="1"/>
      <c r="O518" s="1"/>
      <c r="P518" s="1"/>
      <c r="Q518" s="1"/>
      <c r="R518" s="1"/>
      <c r="S518" s="1"/>
      <c r="T518" s="1"/>
      <c r="U518" s="1"/>
    </row>
    <row r="519" spans="1:21" x14ac:dyDescent="0.25">
      <c r="A519" s="1"/>
      <c r="B519" s="1"/>
      <c r="C519" s="1"/>
      <c r="D519" s="1"/>
      <c r="E519" s="1"/>
      <c r="F519" s="1"/>
      <c r="G519" s="1"/>
      <c r="H519" s="1"/>
      <c r="I519" s="1"/>
      <c r="J519" s="1"/>
      <c r="K519" s="1"/>
      <c r="L519" s="1"/>
      <c r="M519" s="1"/>
      <c r="N519" s="1"/>
      <c r="O519" s="1"/>
      <c r="P519" s="1"/>
      <c r="Q519" s="1"/>
      <c r="R519" s="1"/>
      <c r="S519" s="1"/>
      <c r="T519" s="1"/>
      <c r="U519" s="1"/>
    </row>
    <row r="520" spans="1:21" x14ac:dyDescent="0.25">
      <c r="A520" s="1"/>
      <c r="B520" s="1"/>
      <c r="C520" s="1"/>
      <c r="D520" s="1"/>
      <c r="E520" s="1"/>
      <c r="F520" s="1"/>
      <c r="G520" s="1"/>
      <c r="H520" s="1"/>
      <c r="I520" s="1"/>
      <c r="J520" s="1"/>
      <c r="K520" s="1"/>
      <c r="L520" s="1"/>
      <c r="M520" s="1"/>
      <c r="N520" s="1"/>
      <c r="O520" s="1"/>
      <c r="P520" s="1"/>
      <c r="Q520" s="1"/>
      <c r="R520" s="1"/>
      <c r="S520" s="1"/>
      <c r="T520" s="1"/>
      <c r="U520" s="1"/>
    </row>
    <row r="521" spans="1:21" x14ac:dyDescent="0.25">
      <c r="A521" s="1"/>
      <c r="B521" s="1"/>
      <c r="C521" s="1"/>
      <c r="D521" s="1"/>
      <c r="E521" s="1"/>
      <c r="F521" s="1"/>
      <c r="G521" s="1"/>
      <c r="H521" s="1"/>
      <c r="I521" s="1"/>
      <c r="J521" s="1"/>
      <c r="K521" s="1"/>
      <c r="L521" s="1"/>
      <c r="M521" s="1"/>
      <c r="N521" s="1"/>
      <c r="O521" s="1"/>
      <c r="P521" s="1"/>
      <c r="Q521" s="1"/>
      <c r="R521" s="1"/>
      <c r="S521" s="1"/>
      <c r="T521" s="1"/>
      <c r="U521" s="1"/>
    </row>
    <row r="522" spans="1:21" x14ac:dyDescent="0.25">
      <c r="A522" s="1"/>
      <c r="B522" s="1"/>
      <c r="C522" s="1"/>
      <c r="D522" s="1"/>
      <c r="E522" s="1"/>
      <c r="F522" s="1"/>
      <c r="G522" s="1"/>
      <c r="H522" s="1"/>
      <c r="I522" s="1"/>
      <c r="J522" s="1"/>
      <c r="K522" s="1"/>
      <c r="L522" s="1"/>
      <c r="M522" s="1"/>
      <c r="N522" s="1"/>
      <c r="O522" s="1"/>
      <c r="P522" s="1"/>
      <c r="Q522" s="1"/>
      <c r="R522" s="1"/>
      <c r="S522" s="1"/>
      <c r="T522" s="1"/>
      <c r="U522" s="1"/>
    </row>
    <row r="523" spans="1:21" x14ac:dyDescent="0.25">
      <c r="A523" s="1"/>
      <c r="B523" s="1"/>
      <c r="C523" s="1"/>
      <c r="D523" s="1"/>
      <c r="E523" s="1"/>
      <c r="F523" s="1"/>
      <c r="G523" s="1"/>
      <c r="H523" s="1"/>
      <c r="I523" s="1"/>
      <c r="J523" s="1"/>
      <c r="K523" s="1"/>
      <c r="L523" s="1"/>
      <c r="M523" s="1"/>
      <c r="N523" s="1"/>
      <c r="O523" s="1"/>
      <c r="P523" s="1"/>
      <c r="Q523" s="1"/>
      <c r="R523" s="1"/>
      <c r="S523" s="1"/>
      <c r="T523" s="1"/>
      <c r="U523" s="1"/>
    </row>
    <row r="524" spans="1:21" x14ac:dyDescent="0.25">
      <c r="A524" s="1"/>
      <c r="B524" s="1"/>
      <c r="C524" s="1"/>
      <c r="D524" s="1"/>
      <c r="E524" s="1"/>
      <c r="F524" s="1"/>
      <c r="G524" s="1"/>
      <c r="H524" s="1"/>
      <c r="I524" s="1"/>
      <c r="J524" s="1"/>
      <c r="K524" s="1"/>
      <c r="L524" s="1"/>
      <c r="M524" s="1"/>
      <c r="N524" s="1"/>
      <c r="O524" s="1"/>
      <c r="P524" s="1"/>
      <c r="Q524" s="1"/>
      <c r="R524" s="1"/>
      <c r="S524" s="1"/>
      <c r="T524" s="1"/>
      <c r="U524" s="1"/>
    </row>
    <row r="525" spans="1:21" x14ac:dyDescent="0.25">
      <c r="A525" s="1"/>
      <c r="B525" s="1"/>
      <c r="C525" s="1"/>
      <c r="D525" s="1"/>
      <c r="E525" s="1"/>
      <c r="F525" s="1"/>
      <c r="G525" s="1"/>
      <c r="H525" s="1"/>
      <c r="I525" s="1"/>
      <c r="J525" s="1"/>
      <c r="K525" s="1"/>
      <c r="L525" s="1"/>
      <c r="M525" s="1"/>
      <c r="N525" s="1"/>
      <c r="O525" s="1"/>
      <c r="P525" s="1"/>
      <c r="Q525" s="1"/>
      <c r="R525" s="1"/>
      <c r="S525" s="1"/>
      <c r="T525" s="1"/>
      <c r="U525" s="1"/>
    </row>
    <row r="526" spans="1:21" x14ac:dyDescent="0.25">
      <c r="A526" s="1"/>
      <c r="B526" s="1"/>
      <c r="C526" s="1"/>
      <c r="D526" s="1"/>
      <c r="E526" s="1"/>
      <c r="F526" s="1"/>
      <c r="G526" s="1"/>
      <c r="H526" s="1"/>
      <c r="I526" s="1"/>
      <c r="J526" s="1"/>
      <c r="K526" s="1"/>
      <c r="L526" s="1"/>
      <c r="M526" s="1"/>
      <c r="N526" s="1"/>
      <c r="O526" s="1"/>
      <c r="P526" s="1"/>
      <c r="Q526" s="1"/>
      <c r="R526" s="1"/>
      <c r="S526" s="1"/>
      <c r="T526" s="1"/>
      <c r="U526" s="1"/>
    </row>
    <row r="527" spans="1:21" x14ac:dyDescent="0.25">
      <c r="A527" s="1"/>
      <c r="B527" s="1"/>
      <c r="C527" s="1"/>
      <c r="D527" s="1"/>
      <c r="E527" s="1"/>
      <c r="F527" s="1"/>
      <c r="G527" s="1"/>
      <c r="H527" s="1"/>
      <c r="I527" s="1"/>
      <c r="J527" s="1"/>
      <c r="K527" s="1"/>
      <c r="L527" s="1"/>
      <c r="M527" s="1"/>
      <c r="N527" s="1"/>
      <c r="O527" s="1"/>
      <c r="P527" s="1"/>
      <c r="Q527" s="1"/>
      <c r="R527" s="1"/>
      <c r="S527" s="1"/>
      <c r="T527" s="1"/>
      <c r="U527" s="1"/>
    </row>
    <row r="528" spans="1:21" x14ac:dyDescent="0.25">
      <c r="A528" s="1"/>
      <c r="B528" s="1"/>
      <c r="C528" s="1"/>
      <c r="D528" s="1"/>
      <c r="E528" s="1"/>
      <c r="F528" s="1"/>
      <c r="G528" s="1"/>
      <c r="H528" s="1"/>
      <c r="I528" s="1"/>
      <c r="J528" s="1"/>
      <c r="K528" s="1"/>
      <c r="L528" s="1"/>
      <c r="M528" s="1"/>
      <c r="N528" s="1"/>
      <c r="O528" s="1"/>
      <c r="P528" s="1"/>
      <c r="Q528" s="1"/>
      <c r="R528" s="1"/>
      <c r="S528" s="1"/>
      <c r="T528" s="1"/>
      <c r="U528" s="1"/>
    </row>
    <row r="529" spans="1:21" x14ac:dyDescent="0.25">
      <c r="A529" s="1"/>
      <c r="B529" s="1"/>
      <c r="C529" s="1"/>
      <c r="D529" s="1"/>
      <c r="E529" s="1"/>
      <c r="F529" s="1"/>
      <c r="G529" s="1"/>
      <c r="H529" s="1"/>
      <c r="I529" s="1"/>
      <c r="J529" s="1"/>
      <c r="K529" s="1"/>
      <c r="L529" s="1"/>
      <c r="M529" s="1"/>
      <c r="N529" s="1"/>
      <c r="O529" s="1"/>
      <c r="P529" s="1"/>
      <c r="Q529" s="1"/>
      <c r="R529" s="1"/>
      <c r="S529" s="1"/>
      <c r="T529" s="1"/>
      <c r="U529" s="1"/>
    </row>
    <row r="530" spans="1:21" x14ac:dyDescent="0.25">
      <c r="A530" s="1"/>
      <c r="B530" s="1"/>
      <c r="C530" s="1"/>
      <c r="D530" s="1"/>
      <c r="E530" s="1"/>
      <c r="F530" s="1"/>
      <c r="G530" s="1"/>
      <c r="H530" s="1"/>
      <c r="I530" s="1"/>
      <c r="J530" s="1"/>
      <c r="K530" s="1"/>
      <c r="L530" s="1"/>
      <c r="M530" s="1"/>
      <c r="N530" s="1"/>
      <c r="O530" s="1"/>
      <c r="P530" s="1"/>
      <c r="Q530" s="1"/>
      <c r="R530" s="1"/>
      <c r="S530" s="1"/>
      <c r="T530" s="1"/>
      <c r="U530" s="1"/>
    </row>
    <row r="531" spans="1:21" x14ac:dyDescent="0.25">
      <c r="A531" s="1"/>
      <c r="B531" s="1"/>
      <c r="C531" s="1"/>
      <c r="D531" s="1"/>
      <c r="E531" s="1"/>
      <c r="F531" s="1"/>
      <c r="G531" s="1"/>
      <c r="H531" s="1"/>
      <c r="I531" s="1"/>
      <c r="J531" s="1"/>
      <c r="K531" s="1"/>
      <c r="L531" s="1"/>
      <c r="M531" s="1"/>
      <c r="N531" s="1"/>
      <c r="O531" s="1"/>
      <c r="P531" s="1"/>
      <c r="Q531" s="1"/>
      <c r="R531" s="1"/>
      <c r="S531" s="1"/>
      <c r="T531" s="1"/>
      <c r="U531" s="1"/>
    </row>
    <row r="532" spans="1:21" x14ac:dyDescent="0.25">
      <c r="A532" s="1"/>
      <c r="B532" s="1"/>
      <c r="C532" s="1"/>
      <c r="D532" s="1"/>
      <c r="E532" s="1"/>
      <c r="F532" s="1"/>
      <c r="G532" s="1"/>
      <c r="H532" s="1"/>
      <c r="I532" s="1"/>
      <c r="J532" s="1"/>
      <c r="K532" s="1"/>
      <c r="L532" s="1"/>
      <c r="M532" s="1"/>
      <c r="N532" s="1"/>
      <c r="O532" s="1"/>
      <c r="P532" s="1"/>
      <c r="Q532" s="1"/>
      <c r="R532" s="1"/>
      <c r="S532" s="1"/>
      <c r="T532" s="1"/>
      <c r="U532" s="1"/>
    </row>
    <row r="533" spans="1:21" x14ac:dyDescent="0.25">
      <c r="A533" s="1"/>
      <c r="B533" s="1"/>
      <c r="C533" s="1"/>
      <c r="D533" s="1"/>
      <c r="E533" s="1"/>
      <c r="F533" s="1"/>
      <c r="G533" s="1"/>
      <c r="H533" s="1"/>
      <c r="I533" s="1"/>
      <c r="J533" s="1"/>
      <c r="K533" s="1"/>
      <c r="L533" s="1"/>
      <c r="M533" s="1"/>
      <c r="N533" s="1"/>
      <c r="O533" s="1"/>
      <c r="P533" s="1"/>
      <c r="Q533" s="1"/>
      <c r="R533" s="1"/>
      <c r="S533" s="1"/>
      <c r="T533" s="1"/>
      <c r="U533" s="1"/>
    </row>
    <row r="534" spans="1:21" x14ac:dyDescent="0.25">
      <c r="A534" s="1"/>
      <c r="B534" s="1"/>
      <c r="C534" s="1"/>
      <c r="D534" s="1"/>
      <c r="E534" s="1"/>
      <c r="F534" s="1"/>
      <c r="G534" s="1"/>
      <c r="H534" s="1"/>
      <c r="I534" s="1"/>
      <c r="J534" s="1"/>
      <c r="K534" s="1"/>
      <c r="L534" s="1"/>
      <c r="M534" s="1"/>
      <c r="N534" s="1"/>
      <c r="O534" s="1"/>
      <c r="P534" s="1"/>
      <c r="Q534" s="1"/>
      <c r="R534" s="1"/>
      <c r="S534" s="1"/>
      <c r="T534" s="1"/>
      <c r="U534" s="1"/>
    </row>
    <row r="535" spans="1:21" x14ac:dyDescent="0.25">
      <c r="A535" s="1"/>
      <c r="B535" s="1"/>
      <c r="C535" s="1"/>
      <c r="D535" s="1"/>
      <c r="E535" s="1"/>
      <c r="F535" s="1"/>
      <c r="G535" s="1"/>
      <c r="H535" s="1"/>
      <c r="I535" s="1"/>
      <c r="J535" s="1"/>
      <c r="K535" s="1"/>
      <c r="L535" s="1"/>
      <c r="M535" s="1"/>
      <c r="N535" s="1"/>
      <c r="O535" s="1"/>
      <c r="P535" s="1"/>
      <c r="Q535" s="1"/>
      <c r="R535" s="1"/>
      <c r="S535" s="1"/>
      <c r="T535" s="1"/>
      <c r="U535" s="1"/>
    </row>
    <row r="536" spans="1:21" x14ac:dyDescent="0.25">
      <c r="A536" s="1"/>
      <c r="B536" s="1"/>
      <c r="C536" s="1"/>
      <c r="D536" s="1"/>
      <c r="E536" s="1"/>
      <c r="F536" s="1"/>
      <c r="G536" s="1"/>
      <c r="H536" s="1"/>
      <c r="I536" s="1"/>
      <c r="J536" s="1"/>
      <c r="K536" s="1"/>
      <c r="L536" s="1"/>
      <c r="M536" s="1"/>
      <c r="N536" s="1"/>
      <c r="O536" s="1"/>
      <c r="P536" s="1"/>
      <c r="Q536" s="1"/>
      <c r="R536" s="1"/>
      <c r="S536" s="1"/>
      <c r="T536" s="1"/>
      <c r="U536" s="1"/>
    </row>
    <row r="537" spans="1:21" x14ac:dyDescent="0.25">
      <c r="A537" s="1"/>
      <c r="B537" s="1"/>
      <c r="C537" s="1"/>
      <c r="D537" s="1"/>
      <c r="E537" s="1"/>
      <c r="F537" s="1"/>
      <c r="G537" s="1"/>
      <c r="H537" s="1"/>
      <c r="I537" s="1"/>
      <c r="J537" s="1"/>
      <c r="K537" s="1"/>
      <c r="L537" s="1"/>
      <c r="M537" s="1"/>
      <c r="N537" s="1"/>
      <c r="O537" s="1"/>
      <c r="P537" s="1"/>
      <c r="Q537" s="1"/>
      <c r="R537" s="1"/>
      <c r="S537" s="1"/>
      <c r="T537" s="1"/>
      <c r="U537" s="1"/>
    </row>
    <row r="538" spans="1:21" x14ac:dyDescent="0.25">
      <c r="A538" s="1"/>
      <c r="B538" s="1"/>
      <c r="C538" s="1"/>
      <c r="D538" s="1"/>
      <c r="E538" s="1"/>
      <c r="F538" s="1"/>
      <c r="G538" s="1"/>
      <c r="H538" s="1"/>
      <c r="I538" s="1"/>
      <c r="J538" s="1"/>
      <c r="K538" s="1"/>
      <c r="L538" s="1"/>
      <c r="M538" s="1"/>
      <c r="N538" s="1"/>
      <c r="O538" s="1"/>
      <c r="P538" s="1"/>
      <c r="Q538" s="1"/>
      <c r="R538" s="1"/>
      <c r="S538" s="1"/>
      <c r="T538" s="1"/>
      <c r="U538" s="1"/>
    </row>
    <row r="539" spans="1:21" x14ac:dyDescent="0.25">
      <c r="A539" s="1"/>
      <c r="B539" s="1"/>
      <c r="C539" s="1"/>
      <c r="D539" s="1"/>
      <c r="E539" s="1"/>
      <c r="F539" s="1"/>
      <c r="G539" s="1"/>
      <c r="H539" s="1"/>
      <c r="I539" s="1"/>
      <c r="J539" s="1"/>
      <c r="K539" s="1"/>
      <c r="L539" s="1"/>
      <c r="M539" s="1"/>
      <c r="N539" s="1"/>
      <c r="O539" s="1"/>
      <c r="P539" s="1"/>
      <c r="Q539" s="1"/>
      <c r="R539" s="1"/>
      <c r="S539" s="1"/>
      <c r="T539" s="1"/>
      <c r="U539" s="1"/>
    </row>
    <row r="540" spans="1:21" x14ac:dyDescent="0.25">
      <c r="A540" s="1"/>
      <c r="B540" s="1"/>
      <c r="C540" s="1"/>
      <c r="D540" s="1"/>
      <c r="E540" s="1"/>
      <c r="F540" s="1"/>
      <c r="G540" s="1"/>
      <c r="H540" s="1"/>
      <c r="I540" s="1"/>
      <c r="J540" s="1"/>
      <c r="K540" s="1"/>
      <c r="L540" s="1"/>
      <c r="M540" s="1"/>
      <c r="N540" s="1"/>
      <c r="O540" s="1"/>
      <c r="P540" s="1"/>
      <c r="Q540" s="1"/>
      <c r="R540" s="1"/>
      <c r="S540" s="1"/>
      <c r="T540" s="1"/>
      <c r="U540" s="1"/>
    </row>
    <row r="541" spans="1:21" x14ac:dyDescent="0.25">
      <c r="A541" s="1"/>
      <c r="B541" s="1"/>
      <c r="C541" s="1"/>
      <c r="D541" s="1"/>
      <c r="E541" s="1"/>
      <c r="F541" s="1"/>
      <c r="G541" s="1"/>
      <c r="H541" s="1"/>
      <c r="I541" s="1"/>
      <c r="J541" s="1"/>
      <c r="K541" s="1"/>
      <c r="L541" s="1"/>
      <c r="M541" s="1"/>
      <c r="N541" s="1"/>
      <c r="O541" s="1"/>
      <c r="P541" s="1"/>
      <c r="Q541" s="1"/>
      <c r="R541" s="1"/>
      <c r="S541" s="1"/>
      <c r="T541" s="1"/>
      <c r="U541" s="1"/>
    </row>
    <row r="542" spans="1:21" x14ac:dyDescent="0.25">
      <c r="A542" s="1"/>
      <c r="B542" s="1"/>
      <c r="C542" s="1"/>
      <c r="D542" s="1"/>
      <c r="E542" s="1"/>
      <c r="F542" s="1"/>
      <c r="G542" s="1"/>
      <c r="H542" s="1"/>
      <c r="I542" s="1"/>
      <c r="J542" s="1"/>
      <c r="K542" s="1"/>
      <c r="L542" s="1"/>
      <c r="M542" s="1"/>
      <c r="N542" s="1"/>
      <c r="O542" s="1"/>
      <c r="P542" s="1"/>
      <c r="Q542" s="1"/>
      <c r="R542" s="1"/>
      <c r="S542" s="1"/>
      <c r="T542" s="1"/>
      <c r="U542" s="1"/>
    </row>
    <row r="543" spans="1:21" x14ac:dyDescent="0.25">
      <c r="A543" s="1"/>
      <c r="B543" s="1"/>
      <c r="C543" s="1"/>
      <c r="D543" s="1"/>
      <c r="E543" s="1"/>
      <c r="F543" s="1"/>
      <c r="G543" s="1"/>
      <c r="H543" s="1"/>
      <c r="I543" s="1"/>
      <c r="J543" s="1"/>
      <c r="K543" s="1"/>
      <c r="L543" s="1"/>
      <c r="M543" s="1"/>
      <c r="N543" s="1"/>
      <c r="O543" s="1"/>
      <c r="P543" s="1"/>
      <c r="Q543" s="1"/>
      <c r="R543" s="1"/>
      <c r="S543" s="1"/>
      <c r="T543" s="1"/>
      <c r="U543" s="1"/>
    </row>
    <row r="544" spans="1:21" x14ac:dyDescent="0.25">
      <c r="A544" s="1"/>
      <c r="B544" s="1"/>
      <c r="C544" s="1"/>
      <c r="D544" s="1"/>
      <c r="E544" s="1"/>
      <c r="F544" s="1"/>
      <c r="G544" s="1"/>
      <c r="H544" s="1"/>
      <c r="I544" s="1"/>
      <c r="J544" s="1"/>
      <c r="K544" s="1"/>
      <c r="L544" s="1"/>
      <c r="M544" s="1"/>
      <c r="N544" s="1"/>
      <c r="O544" s="1"/>
      <c r="P544" s="1"/>
      <c r="Q544" s="1"/>
      <c r="R544" s="1"/>
      <c r="S544" s="1"/>
      <c r="T544" s="1"/>
      <c r="U544" s="1"/>
    </row>
    <row r="545" spans="1:21" x14ac:dyDescent="0.25">
      <c r="A545" s="1"/>
      <c r="B545" s="1"/>
      <c r="C545" s="1"/>
      <c r="D545" s="1"/>
      <c r="E545" s="1"/>
      <c r="F545" s="1"/>
      <c r="G545" s="1"/>
      <c r="H545" s="1"/>
      <c r="I545" s="1"/>
      <c r="J545" s="1"/>
      <c r="K545" s="1"/>
      <c r="L545" s="1"/>
      <c r="M545" s="1"/>
      <c r="N545" s="1"/>
      <c r="O545" s="1"/>
      <c r="P545" s="1"/>
      <c r="Q545" s="1"/>
      <c r="R545" s="1"/>
      <c r="S545" s="1"/>
      <c r="T545" s="1"/>
      <c r="U545" s="1"/>
    </row>
    <row r="546" spans="1:21" x14ac:dyDescent="0.25">
      <c r="A546" s="1"/>
      <c r="B546" s="1"/>
      <c r="C546" s="1"/>
      <c r="D546" s="1"/>
      <c r="E546" s="1"/>
      <c r="F546" s="1"/>
      <c r="G546" s="1"/>
      <c r="H546" s="1"/>
      <c r="I546" s="1"/>
      <c r="J546" s="1"/>
      <c r="K546" s="1"/>
      <c r="L546" s="1"/>
      <c r="M546" s="1"/>
      <c r="N546" s="1"/>
      <c r="O546" s="1"/>
      <c r="P546" s="1"/>
      <c r="Q546" s="1"/>
      <c r="R546" s="1"/>
      <c r="S546" s="1"/>
      <c r="T546" s="1"/>
      <c r="U546" s="1"/>
    </row>
    <row r="547" spans="1:21" x14ac:dyDescent="0.25">
      <c r="A547" s="1"/>
      <c r="B547" s="1"/>
      <c r="C547" s="1"/>
      <c r="D547" s="1"/>
      <c r="E547" s="1"/>
      <c r="F547" s="1"/>
      <c r="G547" s="1"/>
      <c r="H547" s="1"/>
      <c r="I547" s="1"/>
      <c r="J547" s="1"/>
      <c r="K547" s="1"/>
      <c r="L547" s="1"/>
      <c r="M547" s="1"/>
      <c r="N547" s="1"/>
      <c r="O547" s="1"/>
      <c r="P547" s="1"/>
      <c r="Q547" s="1"/>
      <c r="R547" s="1"/>
      <c r="S547" s="1"/>
      <c r="T547" s="1"/>
      <c r="U547" s="1"/>
    </row>
    <row r="548" spans="1:21" x14ac:dyDescent="0.25">
      <c r="A548" s="1"/>
      <c r="B548" s="1"/>
      <c r="C548" s="1"/>
      <c r="D548" s="1"/>
      <c r="E548" s="1"/>
      <c r="F548" s="1"/>
      <c r="G548" s="1"/>
      <c r="H548" s="1"/>
      <c r="I548" s="1"/>
      <c r="J548" s="1"/>
      <c r="K548" s="1"/>
      <c r="L548" s="1"/>
      <c r="M548" s="1"/>
      <c r="N548" s="1"/>
      <c r="O548" s="1"/>
      <c r="P548" s="1"/>
      <c r="Q548" s="1"/>
      <c r="R548" s="1"/>
      <c r="S548" s="1"/>
      <c r="T548" s="1"/>
      <c r="U548" s="1"/>
    </row>
    <row r="549" spans="1:21" x14ac:dyDescent="0.25">
      <c r="A549" s="1"/>
      <c r="B549" s="1"/>
      <c r="C549" s="1"/>
      <c r="D549" s="1"/>
      <c r="E549" s="1"/>
      <c r="F549" s="1"/>
      <c r="G549" s="1"/>
      <c r="H549" s="1"/>
      <c r="I549" s="1"/>
      <c r="J549" s="1"/>
      <c r="K549" s="1"/>
      <c r="L549" s="1"/>
      <c r="M549" s="1"/>
      <c r="N549" s="1"/>
      <c r="O549" s="1"/>
      <c r="P549" s="1"/>
      <c r="Q549" s="1"/>
      <c r="R549" s="1"/>
      <c r="S549" s="1"/>
      <c r="T549" s="1"/>
      <c r="U549" s="1"/>
    </row>
    <row r="550" spans="1:21" x14ac:dyDescent="0.25">
      <c r="A550" s="1"/>
      <c r="B550" s="1"/>
      <c r="C550" s="1"/>
      <c r="D550" s="1"/>
      <c r="E550" s="1"/>
      <c r="F550" s="1"/>
      <c r="G550" s="1"/>
      <c r="H550" s="1"/>
      <c r="I550" s="1"/>
      <c r="J550" s="1"/>
      <c r="K550" s="1"/>
      <c r="L550" s="1"/>
      <c r="M550" s="1"/>
      <c r="N550" s="1"/>
      <c r="O550" s="1"/>
      <c r="P550" s="1"/>
      <c r="Q550" s="1"/>
      <c r="R550" s="1"/>
      <c r="S550" s="1"/>
      <c r="T550" s="1"/>
      <c r="U550" s="1"/>
    </row>
    <row r="551" spans="1:21" x14ac:dyDescent="0.25">
      <c r="A551" s="1"/>
      <c r="B551" s="1"/>
      <c r="C551" s="1"/>
      <c r="D551" s="1"/>
      <c r="E551" s="1"/>
      <c r="F551" s="1"/>
      <c r="G551" s="1"/>
      <c r="H551" s="1"/>
      <c r="I551" s="1"/>
      <c r="J551" s="1"/>
      <c r="K551" s="1"/>
      <c r="L551" s="1"/>
      <c r="M551" s="1"/>
      <c r="N551" s="1"/>
      <c r="O551" s="1"/>
      <c r="P551" s="1"/>
      <c r="Q551" s="1"/>
      <c r="R551" s="1"/>
      <c r="S551" s="1"/>
      <c r="T551" s="1"/>
      <c r="U551" s="1"/>
    </row>
    <row r="552" spans="1:21" x14ac:dyDescent="0.25">
      <c r="A552" s="1"/>
      <c r="B552" s="1"/>
      <c r="C552" s="1"/>
      <c r="D552" s="1"/>
      <c r="E552" s="1"/>
      <c r="F552" s="1"/>
      <c r="G552" s="1"/>
      <c r="H552" s="1"/>
      <c r="I552" s="1"/>
      <c r="J552" s="1"/>
      <c r="K552" s="1"/>
      <c r="L552" s="1"/>
      <c r="M552" s="1"/>
      <c r="N552" s="1"/>
      <c r="O552" s="1"/>
      <c r="P552" s="1"/>
      <c r="Q552" s="1"/>
      <c r="R552" s="1"/>
      <c r="S552" s="1"/>
      <c r="T552" s="1"/>
      <c r="U552" s="1"/>
    </row>
    <row r="553" spans="1:21" x14ac:dyDescent="0.25">
      <c r="A553" s="1"/>
      <c r="B553" s="1"/>
      <c r="C553" s="1"/>
      <c r="D553" s="1"/>
      <c r="E553" s="1"/>
      <c r="F553" s="1"/>
      <c r="G553" s="1"/>
      <c r="H553" s="1"/>
      <c r="I553" s="1"/>
      <c r="J553" s="1"/>
      <c r="K553" s="1"/>
      <c r="L553" s="1"/>
      <c r="M553" s="1"/>
      <c r="N553" s="1"/>
      <c r="O553" s="1"/>
      <c r="P553" s="1"/>
      <c r="Q553" s="1"/>
      <c r="R553" s="1"/>
      <c r="S553" s="1"/>
      <c r="T553" s="1"/>
      <c r="U553" s="1"/>
    </row>
    <row r="554" spans="1:21" x14ac:dyDescent="0.25">
      <c r="A554" s="1"/>
      <c r="B554" s="1"/>
      <c r="C554" s="1"/>
      <c r="D554" s="1"/>
      <c r="E554" s="1"/>
      <c r="F554" s="1"/>
      <c r="G554" s="1"/>
      <c r="H554" s="1"/>
      <c r="I554" s="1"/>
      <c r="J554" s="1"/>
      <c r="K554" s="1"/>
      <c r="L554" s="1"/>
      <c r="M554" s="1"/>
      <c r="N554" s="1"/>
      <c r="O554" s="1"/>
      <c r="P554" s="1"/>
      <c r="Q554" s="1"/>
      <c r="R554" s="1"/>
      <c r="S554" s="1"/>
      <c r="T554" s="1"/>
      <c r="U554" s="1"/>
    </row>
    <row r="555" spans="1:21" x14ac:dyDescent="0.25">
      <c r="A555" s="1"/>
      <c r="B555" s="1"/>
      <c r="C555" s="1"/>
      <c r="D555" s="1"/>
      <c r="E555" s="1"/>
      <c r="F555" s="1"/>
      <c r="G555" s="1"/>
      <c r="H555" s="1"/>
      <c r="I555" s="1"/>
      <c r="J555" s="1"/>
      <c r="K555" s="1"/>
      <c r="L555" s="1"/>
      <c r="M555" s="1"/>
      <c r="N555" s="1"/>
      <c r="O555" s="1"/>
      <c r="P555" s="1"/>
      <c r="Q555" s="1"/>
      <c r="R555" s="1"/>
      <c r="S555" s="1"/>
      <c r="T555" s="1"/>
      <c r="U555" s="1"/>
    </row>
    <row r="556" spans="1:21" x14ac:dyDescent="0.25">
      <c r="A556" s="1"/>
      <c r="B556" s="1"/>
      <c r="C556" s="1"/>
      <c r="D556" s="1"/>
      <c r="E556" s="1"/>
      <c r="F556" s="1"/>
      <c r="G556" s="1"/>
      <c r="H556" s="1"/>
      <c r="I556" s="1"/>
      <c r="J556" s="1"/>
      <c r="K556" s="1"/>
      <c r="L556" s="1"/>
      <c r="M556" s="1"/>
      <c r="N556" s="1"/>
      <c r="O556" s="1"/>
      <c r="P556" s="1"/>
      <c r="Q556" s="1"/>
      <c r="R556" s="1"/>
      <c r="S556" s="1"/>
      <c r="T556" s="1"/>
      <c r="U556" s="1"/>
    </row>
    <row r="557" spans="1:21" x14ac:dyDescent="0.25">
      <c r="A557" s="1"/>
      <c r="B557" s="1"/>
      <c r="C557" s="1"/>
      <c r="D557" s="1"/>
      <c r="E557" s="1"/>
      <c r="F557" s="1"/>
      <c r="G557" s="1"/>
      <c r="H557" s="1"/>
      <c r="I557" s="1"/>
      <c r="J557" s="1"/>
      <c r="K557" s="1"/>
      <c r="L557" s="1"/>
      <c r="M557" s="1"/>
      <c r="N557" s="1"/>
      <c r="O557" s="1"/>
      <c r="P557" s="1"/>
      <c r="Q557" s="1"/>
      <c r="R557" s="1"/>
      <c r="S557" s="1"/>
      <c r="T557" s="1"/>
      <c r="U557" s="1"/>
    </row>
    <row r="558" spans="1:21" x14ac:dyDescent="0.25">
      <c r="A558" s="1"/>
      <c r="B558" s="1"/>
      <c r="C558" s="1"/>
      <c r="D558" s="1"/>
      <c r="E558" s="1"/>
      <c r="F558" s="1"/>
      <c r="G558" s="1"/>
      <c r="H558" s="1"/>
      <c r="I558" s="1"/>
      <c r="J558" s="1"/>
      <c r="K558" s="1"/>
      <c r="L558" s="1"/>
      <c r="M558" s="1"/>
      <c r="N558" s="1"/>
      <c r="O558" s="1"/>
      <c r="P558" s="1"/>
      <c r="Q558" s="1"/>
      <c r="R558" s="1"/>
      <c r="S558" s="1"/>
      <c r="T558" s="1"/>
      <c r="U558" s="1"/>
    </row>
    <row r="559" spans="1:21" x14ac:dyDescent="0.25">
      <c r="A559" s="1"/>
      <c r="B559" s="1"/>
      <c r="C559" s="1"/>
      <c r="D559" s="1"/>
      <c r="E559" s="1"/>
      <c r="F559" s="1"/>
      <c r="G559" s="1"/>
      <c r="H559" s="1"/>
      <c r="I559" s="1"/>
      <c r="J559" s="1"/>
      <c r="K559" s="1"/>
      <c r="L559" s="1"/>
      <c r="M559" s="1"/>
      <c r="N559" s="1"/>
      <c r="O559" s="1"/>
      <c r="P559" s="1"/>
      <c r="Q559" s="1"/>
      <c r="R559" s="1"/>
      <c r="S559" s="1"/>
      <c r="T559" s="1"/>
      <c r="U559" s="1"/>
    </row>
    <row r="560" spans="1:21" x14ac:dyDescent="0.25">
      <c r="A560" s="1"/>
      <c r="B560" s="1"/>
      <c r="C560" s="1"/>
      <c r="D560" s="1"/>
      <c r="E560" s="1"/>
      <c r="F560" s="1"/>
      <c r="G560" s="1"/>
      <c r="H560" s="1"/>
      <c r="I560" s="1"/>
      <c r="J560" s="1"/>
      <c r="K560" s="1"/>
      <c r="L560" s="1"/>
      <c r="M560" s="1"/>
      <c r="N560" s="1"/>
      <c r="O560" s="1"/>
      <c r="P560" s="1"/>
      <c r="Q560" s="1"/>
      <c r="R560" s="1"/>
      <c r="S560" s="1"/>
      <c r="T560" s="1"/>
      <c r="U560" s="1"/>
    </row>
    <row r="561" spans="1:21" x14ac:dyDescent="0.25">
      <c r="A561" s="1"/>
      <c r="B561" s="1"/>
      <c r="C561" s="1"/>
      <c r="D561" s="1"/>
      <c r="E561" s="1"/>
      <c r="F561" s="1"/>
      <c r="G561" s="1"/>
      <c r="H561" s="1"/>
      <c r="I561" s="1"/>
      <c r="J561" s="1"/>
      <c r="K561" s="1"/>
      <c r="L561" s="1"/>
      <c r="M561" s="1"/>
      <c r="N561" s="1"/>
      <c r="O561" s="1"/>
      <c r="P561" s="1"/>
      <c r="Q561" s="1"/>
      <c r="R561" s="1"/>
      <c r="S561" s="1"/>
      <c r="T561" s="1"/>
      <c r="U561" s="1"/>
    </row>
    <row r="562" spans="1:21" x14ac:dyDescent="0.25">
      <c r="A562" s="1"/>
      <c r="B562" s="1"/>
      <c r="C562" s="1"/>
      <c r="D562" s="1"/>
      <c r="E562" s="1"/>
      <c r="F562" s="1"/>
      <c r="G562" s="1"/>
      <c r="H562" s="1"/>
      <c r="I562" s="1"/>
      <c r="J562" s="1"/>
      <c r="K562" s="1"/>
      <c r="L562" s="1"/>
      <c r="M562" s="1"/>
      <c r="N562" s="1"/>
      <c r="O562" s="1"/>
      <c r="P562" s="1"/>
      <c r="Q562" s="1"/>
      <c r="R562" s="1"/>
      <c r="S562" s="1"/>
      <c r="T562" s="1"/>
      <c r="U562" s="1"/>
    </row>
    <row r="563" spans="1:21" x14ac:dyDescent="0.25">
      <c r="A563" s="1"/>
      <c r="B563" s="1"/>
      <c r="C563" s="1"/>
      <c r="D563" s="1"/>
      <c r="E563" s="1"/>
      <c r="F563" s="1"/>
      <c r="G563" s="1"/>
      <c r="H563" s="1"/>
      <c r="I563" s="1"/>
      <c r="J563" s="1"/>
      <c r="K563" s="1"/>
      <c r="L563" s="1"/>
      <c r="M563" s="1"/>
      <c r="N563" s="1"/>
      <c r="O563" s="1"/>
      <c r="P563" s="1"/>
      <c r="Q563" s="1"/>
      <c r="R563" s="1"/>
      <c r="S563" s="1"/>
      <c r="T563" s="1"/>
      <c r="U563" s="1"/>
    </row>
    <row r="564" spans="1:21" x14ac:dyDescent="0.25">
      <c r="A564" s="1"/>
      <c r="B564" s="1"/>
      <c r="C564" s="1"/>
      <c r="D564" s="1"/>
      <c r="E564" s="1"/>
      <c r="F564" s="1"/>
      <c r="G564" s="1"/>
      <c r="H564" s="1"/>
      <c r="I564" s="1"/>
      <c r="J564" s="1"/>
      <c r="K564" s="1"/>
      <c r="L564" s="1"/>
      <c r="M564" s="1"/>
      <c r="N564" s="1"/>
      <c r="O564" s="1"/>
      <c r="P564" s="1"/>
      <c r="Q564" s="1"/>
      <c r="R564" s="1"/>
      <c r="S564" s="1"/>
      <c r="T564" s="1"/>
      <c r="U564" s="1"/>
    </row>
    <row r="565" spans="1:21" x14ac:dyDescent="0.25">
      <c r="A565" s="1"/>
      <c r="B565" s="1"/>
      <c r="C565" s="1"/>
      <c r="D565" s="1"/>
      <c r="E565" s="1"/>
      <c r="F565" s="1"/>
      <c r="G565" s="1"/>
      <c r="H565" s="1"/>
      <c r="I565" s="1"/>
      <c r="J565" s="1"/>
      <c r="K565" s="1"/>
      <c r="L565" s="1"/>
      <c r="M565" s="1"/>
      <c r="N565" s="1"/>
      <c r="O565" s="1"/>
      <c r="P565" s="1"/>
      <c r="Q565" s="1"/>
      <c r="R565" s="1"/>
      <c r="S565" s="1"/>
      <c r="T565" s="1"/>
      <c r="U565" s="1"/>
    </row>
    <row r="566" spans="1:21" x14ac:dyDescent="0.25">
      <c r="A566" s="1"/>
      <c r="B566" s="1"/>
      <c r="C566" s="1"/>
      <c r="D566" s="1"/>
      <c r="E566" s="1"/>
      <c r="F566" s="1"/>
      <c r="G566" s="1"/>
      <c r="H566" s="1"/>
      <c r="I566" s="1"/>
      <c r="J566" s="1"/>
      <c r="K566" s="1"/>
      <c r="L566" s="1"/>
      <c r="M566" s="1"/>
      <c r="N566" s="1"/>
      <c r="O566" s="1"/>
      <c r="P566" s="1"/>
      <c r="Q566" s="1"/>
      <c r="R566" s="1"/>
      <c r="S566" s="1"/>
      <c r="T566" s="1"/>
      <c r="U566" s="1"/>
    </row>
    <row r="567" spans="1:21" x14ac:dyDescent="0.25">
      <c r="A567" s="1"/>
      <c r="B567" s="1"/>
      <c r="C567" s="1"/>
      <c r="D567" s="1"/>
      <c r="E567" s="1"/>
      <c r="F567" s="1"/>
      <c r="G567" s="1"/>
      <c r="H567" s="1"/>
      <c r="I567" s="1"/>
      <c r="J567" s="1"/>
      <c r="K567" s="1"/>
      <c r="L567" s="1"/>
      <c r="M567" s="1"/>
      <c r="N567" s="1"/>
      <c r="O567" s="1"/>
      <c r="P567" s="1"/>
      <c r="Q567" s="1"/>
      <c r="R567" s="1"/>
      <c r="S567" s="1"/>
      <c r="T567" s="1"/>
      <c r="U567" s="1"/>
    </row>
    <row r="568" spans="1:21" x14ac:dyDescent="0.25">
      <c r="A568" s="1"/>
      <c r="B568" s="1"/>
      <c r="C568" s="1"/>
      <c r="D568" s="1"/>
      <c r="E568" s="1"/>
      <c r="F568" s="1"/>
      <c r="G568" s="1"/>
      <c r="H568" s="1"/>
      <c r="I568" s="1"/>
      <c r="J568" s="1"/>
      <c r="K568" s="1"/>
      <c r="L568" s="1"/>
      <c r="M568" s="1"/>
      <c r="N568" s="1"/>
      <c r="O568" s="1"/>
      <c r="P568" s="1"/>
      <c r="Q568" s="1"/>
      <c r="R568" s="1"/>
      <c r="S568" s="1"/>
      <c r="T568" s="1"/>
      <c r="U568" s="1"/>
    </row>
    <row r="569" spans="1:21" x14ac:dyDescent="0.25">
      <c r="A569" s="1"/>
      <c r="B569" s="1"/>
      <c r="C569" s="1"/>
      <c r="D569" s="1"/>
      <c r="E569" s="1"/>
      <c r="F569" s="1"/>
      <c r="G569" s="1"/>
      <c r="H569" s="1"/>
      <c r="I569" s="1"/>
      <c r="J569" s="1"/>
      <c r="K569" s="1"/>
      <c r="L569" s="1"/>
      <c r="M569" s="1"/>
      <c r="N569" s="1"/>
      <c r="O569" s="1"/>
      <c r="P569" s="1"/>
      <c r="Q569" s="1"/>
      <c r="R569" s="1"/>
      <c r="S569" s="1"/>
      <c r="T569" s="1"/>
      <c r="U569" s="1"/>
    </row>
    <row r="570" spans="1:21" x14ac:dyDescent="0.25">
      <c r="A570" s="1"/>
      <c r="B570" s="1"/>
      <c r="C570" s="1"/>
      <c r="D570" s="1"/>
      <c r="E570" s="1"/>
      <c r="F570" s="1"/>
      <c r="G570" s="1"/>
      <c r="H570" s="1"/>
      <c r="I570" s="1"/>
      <c r="J570" s="1"/>
      <c r="K570" s="1"/>
      <c r="L570" s="1"/>
      <c r="M570" s="1"/>
      <c r="N570" s="1"/>
      <c r="O570" s="1"/>
      <c r="P570" s="1"/>
      <c r="Q570" s="1"/>
      <c r="R570" s="1"/>
      <c r="S570" s="1"/>
      <c r="T570" s="1"/>
      <c r="U570" s="1"/>
    </row>
    <row r="571" spans="1:21" x14ac:dyDescent="0.25">
      <c r="A571" s="1"/>
      <c r="B571" s="1"/>
      <c r="C571" s="1"/>
      <c r="D571" s="1"/>
      <c r="E571" s="1"/>
      <c r="F571" s="1"/>
      <c r="G571" s="1"/>
      <c r="H571" s="1"/>
      <c r="I571" s="1"/>
      <c r="J571" s="1"/>
      <c r="K571" s="1"/>
      <c r="L571" s="1"/>
      <c r="M571" s="1"/>
      <c r="N571" s="1"/>
      <c r="O571" s="1"/>
      <c r="P571" s="1"/>
      <c r="Q571" s="1"/>
      <c r="R571" s="1"/>
      <c r="S571" s="1"/>
      <c r="T571" s="1"/>
      <c r="U571" s="1"/>
    </row>
    <row r="572" spans="1:21" x14ac:dyDescent="0.25">
      <c r="A572" s="1"/>
      <c r="B572" s="1"/>
      <c r="C572" s="1"/>
      <c r="D572" s="1"/>
      <c r="E572" s="1"/>
      <c r="F572" s="1"/>
      <c r="G572" s="1"/>
      <c r="H572" s="1"/>
      <c r="I572" s="1"/>
      <c r="J572" s="1"/>
      <c r="K572" s="1"/>
      <c r="L572" s="1"/>
      <c r="M572" s="1"/>
      <c r="N572" s="1"/>
      <c r="O572" s="1"/>
      <c r="P572" s="1"/>
      <c r="Q572" s="1"/>
      <c r="R572" s="1"/>
      <c r="S572" s="1"/>
      <c r="T572" s="1"/>
      <c r="U572" s="1"/>
    </row>
    <row r="573" spans="1:21" x14ac:dyDescent="0.25">
      <c r="A573" s="1"/>
      <c r="B573" s="1"/>
      <c r="C573" s="1"/>
      <c r="D573" s="1"/>
      <c r="E573" s="1"/>
      <c r="F573" s="1"/>
      <c r="G573" s="1"/>
      <c r="H573" s="1"/>
      <c r="I573" s="1"/>
      <c r="J573" s="1"/>
      <c r="K573" s="1"/>
      <c r="L573" s="1"/>
      <c r="M573" s="1"/>
      <c r="N573" s="1"/>
      <c r="O573" s="1"/>
      <c r="P573" s="1"/>
      <c r="Q573" s="1"/>
      <c r="R573" s="1"/>
      <c r="S573" s="1"/>
      <c r="T573" s="1"/>
      <c r="U573" s="1"/>
    </row>
    <row r="574" spans="1:21" x14ac:dyDescent="0.25">
      <c r="A574" s="1"/>
      <c r="B574" s="1"/>
      <c r="C574" s="1"/>
      <c r="D574" s="1"/>
      <c r="E574" s="1"/>
      <c r="F574" s="1"/>
      <c r="G574" s="1"/>
      <c r="H574" s="1"/>
      <c r="I574" s="1"/>
      <c r="J574" s="1"/>
      <c r="K574" s="1"/>
      <c r="L574" s="1"/>
      <c r="M574" s="1"/>
      <c r="N574" s="1"/>
      <c r="O574" s="1"/>
      <c r="P574" s="1"/>
      <c r="Q574" s="1"/>
      <c r="R574" s="1"/>
      <c r="S574" s="1"/>
      <c r="T574" s="1"/>
      <c r="U574" s="1"/>
    </row>
    <row r="575" spans="1:21" x14ac:dyDescent="0.25">
      <c r="A575" s="1"/>
      <c r="B575" s="1"/>
      <c r="C575" s="1"/>
      <c r="D575" s="1"/>
      <c r="E575" s="1"/>
      <c r="F575" s="1"/>
      <c r="G575" s="1"/>
      <c r="H575" s="1"/>
      <c r="I575" s="1"/>
      <c r="J575" s="1"/>
      <c r="K575" s="1"/>
      <c r="L575" s="1"/>
      <c r="M575" s="1"/>
      <c r="N575" s="1"/>
      <c r="O575" s="1"/>
      <c r="P575" s="1"/>
      <c r="Q575" s="1"/>
      <c r="R575" s="1"/>
      <c r="S575" s="1"/>
      <c r="T575" s="1"/>
      <c r="U575" s="1"/>
    </row>
    <row r="576" spans="1:21" x14ac:dyDescent="0.25">
      <c r="A576" s="1"/>
      <c r="B576" s="1"/>
      <c r="C576" s="1"/>
      <c r="D576" s="1"/>
      <c r="E576" s="1"/>
      <c r="F576" s="1"/>
      <c r="G576" s="1"/>
      <c r="H576" s="1"/>
      <c r="I576" s="1"/>
      <c r="J576" s="1"/>
      <c r="K576" s="1"/>
      <c r="L576" s="1"/>
      <c r="M576" s="1"/>
      <c r="N576" s="1"/>
      <c r="O576" s="1"/>
      <c r="P576" s="1"/>
      <c r="Q576" s="1"/>
      <c r="R576" s="1"/>
      <c r="S576" s="1"/>
      <c r="T576" s="1"/>
      <c r="U576" s="1"/>
    </row>
    <row r="577" spans="1:21" x14ac:dyDescent="0.25">
      <c r="A577" s="1"/>
      <c r="B577" s="1"/>
      <c r="C577" s="1"/>
      <c r="D577" s="1"/>
      <c r="E577" s="1"/>
      <c r="F577" s="1"/>
      <c r="G577" s="1"/>
      <c r="H577" s="1"/>
      <c r="I577" s="1"/>
      <c r="J577" s="1"/>
      <c r="K577" s="1"/>
      <c r="L577" s="1"/>
      <c r="M577" s="1"/>
      <c r="N577" s="1"/>
      <c r="O577" s="1"/>
      <c r="P577" s="1"/>
      <c r="Q577" s="1"/>
      <c r="R577" s="1"/>
      <c r="S577" s="1"/>
      <c r="T577" s="1"/>
      <c r="U577" s="1"/>
    </row>
    <row r="578" spans="1:21" x14ac:dyDescent="0.25">
      <c r="A578" s="1"/>
      <c r="B578" s="1"/>
      <c r="C578" s="1"/>
      <c r="D578" s="1"/>
      <c r="E578" s="1"/>
      <c r="F578" s="1"/>
      <c r="G578" s="1"/>
      <c r="H578" s="1"/>
      <c r="I578" s="1"/>
      <c r="J578" s="1"/>
      <c r="K578" s="1"/>
      <c r="L578" s="1"/>
      <c r="M578" s="1"/>
      <c r="N578" s="1"/>
      <c r="O578" s="1"/>
      <c r="P578" s="1"/>
      <c r="Q578" s="1"/>
      <c r="R578" s="1"/>
      <c r="S578" s="1"/>
      <c r="T578" s="1"/>
      <c r="U578" s="1"/>
    </row>
    <row r="579" spans="1:21" x14ac:dyDescent="0.25">
      <c r="A579" s="1"/>
      <c r="B579" s="1"/>
      <c r="C579" s="1"/>
      <c r="D579" s="1"/>
      <c r="E579" s="1"/>
      <c r="F579" s="1"/>
      <c r="G579" s="1"/>
      <c r="H579" s="1"/>
      <c r="I579" s="1"/>
      <c r="J579" s="1"/>
      <c r="K579" s="1"/>
      <c r="L579" s="1"/>
      <c r="M579" s="1"/>
      <c r="N579" s="1"/>
      <c r="O579" s="1"/>
      <c r="P579" s="1"/>
      <c r="Q579" s="1"/>
      <c r="R579" s="1"/>
      <c r="S579" s="1"/>
      <c r="T579" s="1"/>
      <c r="U579" s="1"/>
    </row>
    <row r="580" spans="1:21" x14ac:dyDescent="0.25">
      <c r="A580" s="1"/>
      <c r="B580" s="1"/>
      <c r="C580" s="1"/>
      <c r="D580" s="1"/>
      <c r="E580" s="1"/>
      <c r="F580" s="1"/>
      <c r="G580" s="1"/>
      <c r="H580" s="1"/>
      <c r="I580" s="1"/>
      <c r="J580" s="1"/>
      <c r="K580" s="1"/>
      <c r="L580" s="1"/>
      <c r="M580" s="1"/>
      <c r="N580" s="1"/>
      <c r="O580" s="1"/>
      <c r="P580" s="1"/>
      <c r="Q580" s="1"/>
      <c r="R580" s="1"/>
      <c r="S580" s="1"/>
      <c r="T580" s="1"/>
      <c r="U580" s="1"/>
    </row>
    <row r="581" spans="1:21" x14ac:dyDescent="0.25">
      <c r="A581" s="1"/>
      <c r="B581" s="1"/>
      <c r="C581" s="1"/>
      <c r="D581" s="1"/>
      <c r="E581" s="1"/>
      <c r="F581" s="1"/>
      <c r="G581" s="1"/>
      <c r="H581" s="1"/>
      <c r="I581" s="1"/>
      <c r="J581" s="1"/>
      <c r="K581" s="1"/>
      <c r="L581" s="1"/>
      <c r="M581" s="1"/>
      <c r="N581" s="1"/>
      <c r="O581" s="1"/>
      <c r="P581" s="1"/>
      <c r="Q581" s="1"/>
      <c r="R581" s="1"/>
      <c r="S581" s="1"/>
      <c r="T581" s="1"/>
      <c r="U581" s="1"/>
    </row>
    <row r="582" spans="1:21" x14ac:dyDescent="0.25">
      <c r="A582" s="1"/>
      <c r="B582" s="1"/>
      <c r="C582" s="1"/>
      <c r="D582" s="1"/>
      <c r="E582" s="1"/>
      <c r="F582" s="1"/>
      <c r="G582" s="1"/>
      <c r="H582" s="1"/>
      <c r="I582" s="1"/>
      <c r="J582" s="1"/>
      <c r="K582" s="1"/>
      <c r="L582" s="1"/>
      <c r="M582" s="1"/>
      <c r="N582" s="1"/>
      <c r="O582" s="1"/>
      <c r="P582" s="1"/>
      <c r="Q582" s="1"/>
      <c r="R582" s="1"/>
      <c r="S582" s="1"/>
      <c r="T582" s="1"/>
      <c r="U582" s="1"/>
    </row>
    <row r="583" spans="1:21" x14ac:dyDescent="0.25">
      <c r="A583" s="1"/>
      <c r="B583" s="1"/>
      <c r="C583" s="1"/>
      <c r="D583" s="1"/>
      <c r="E583" s="1"/>
      <c r="F583" s="1"/>
      <c r="G583" s="1"/>
      <c r="H583" s="1"/>
      <c r="I583" s="1"/>
      <c r="J583" s="1"/>
      <c r="K583" s="1"/>
      <c r="L583" s="1"/>
      <c r="M583" s="1"/>
      <c r="N583" s="1"/>
      <c r="O583" s="1"/>
      <c r="P583" s="1"/>
      <c r="Q583" s="1"/>
      <c r="R583" s="1"/>
      <c r="S583" s="1"/>
      <c r="T583" s="1"/>
      <c r="U583" s="1"/>
    </row>
    <row r="584" spans="1:21" x14ac:dyDescent="0.25">
      <c r="A584" s="1"/>
      <c r="B584" s="1"/>
      <c r="C584" s="1"/>
      <c r="D584" s="1"/>
      <c r="E584" s="1"/>
      <c r="F584" s="1"/>
      <c r="G584" s="1"/>
      <c r="H584" s="1"/>
      <c r="I584" s="1"/>
      <c r="J584" s="1"/>
      <c r="K584" s="1"/>
      <c r="L584" s="1"/>
      <c r="M584" s="1"/>
      <c r="N584" s="1"/>
      <c r="O584" s="1"/>
      <c r="P584" s="1"/>
      <c r="Q584" s="1"/>
      <c r="R584" s="1"/>
      <c r="S584" s="1"/>
      <c r="T584" s="1"/>
      <c r="U584" s="1"/>
    </row>
    <row r="585" spans="1:21" x14ac:dyDescent="0.25">
      <c r="A585" s="1"/>
      <c r="B585" s="1"/>
      <c r="C585" s="1"/>
      <c r="D585" s="1"/>
      <c r="E585" s="1"/>
      <c r="F585" s="1"/>
      <c r="G585" s="1"/>
      <c r="H585" s="1"/>
      <c r="I585" s="1"/>
      <c r="J585" s="1"/>
      <c r="K585" s="1"/>
      <c r="L585" s="1"/>
      <c r="M585" s="1"/>
      <c r="N585" s="1"/>
      <c r="O585" s="1"/>
      <c r="P585" s="1"/>
      <c r="Q585" s="1"/>
      <c r="R585" s="1"/>
      <c r="S585" s="1"/>
      <c r="T585" s="1"/>
      <c r="U585" s="1"/>
    </row>
    <row r="586" spans="1:21" x14ac:dyDescent="0.25">
      <c r="A586" s="1"/>
      <c r="B586" s="1"/>
      <c r="C586" s="1"/>
      <c r="D586" s="1"/>
      <c r="E586" s="1"/>
      <c r="F586" s="1"/>
      <c r="G586" s="1"/>
      <c r="H586" s="1"/>
      <c r="I586" s="1"/>
      <c r="J586" s="1"/>
      <c r="K586" s="1"/>
      <c r="L586" s="1"/>
      <c r="M586" s="1"/>
      <c r="N586" s="1"/>
      <c r="O586" s="1"/>
      <c r="P586" s="1"/>
      <c r="Q586" s="1"/>
      <c r="R586" s="1"/>
      <c r="S586" s="1"/>
      <c r="T586" s="1"/>
      <c r="U586" s="1"/>
    </row>
    <row r="587" spans="1:21" x14ac:dyDescent="0.25">
      <c r="A587" s="1"/>
      <c r="B587" s="1"/>
      <c r="C587" s="1"/>
      <c r="D587" s="1"/>
      <c r="E587" s="1"/>
      <c r="F587" s="1"/>
      <c r="G587" s="1"/>
      <c r="H587" s="1"/>
      <c r="I587" s="1"/>
      <c r="J587" s="1"/>
      <c r="K587" s="1"/>
      <c r="L587" s="1"/>
      <c r="M587" s="1"/>
      <c r="N587" s="1"/>
      <c r="O587" s="1"/>
      <c r="P587" s="1"/>
      <c r="Q587" s="1"/>
      <c r="R587" s="1"/>
      <c r="S587" s="1"/>
      <c r="T587" s="1"/>
      <c r="U587" s="1"/>
    </row>
    <row r="588" spans="1:21" x14ac:dyDescent="0.25">
      <c r="A588" s="1"/>
      <c r="B588" s="1"/>
      <c r="C588" s="1"/>
      <c r="D588" s="1"/>
      <c r="E588" s="1"/>
      <c r="F588" s="1"/>
      <c r="G588" s="1"/>
      <c r="H588" s="1"/>
      <c r="I588" s="1"/>
      <c r="J588" s="1"/>
      <c r="K588" s="1"/>
      <c r="L588" s="1"/>
      <c r="M588" s="1"/>
      <c r="N588" s="1"/>
      <c r="O588" s="1"/>
      <c r="P588" s="1"/>
      <c r="Q588" s="1"/>
      <c r="R588" s="1"/>
      <c r="S588" s="1"/>
      <c r="T588" s="1"/>
      <c r="U588" s="1"/>
    </row>
    <row r="589" spans="1:21" x14ac:dyDescent="0.25">
      <c r="A589" s="1"/>
      <c r="B589" s="1"/>
      <c r="C589" s="1"/>
      <c r="D589" s="1"/>
      <c r="E589" s="1"/>
      <c r="F589" s="1"/>
      <c r="G589" s="1"/>
      <c r="H589" s="1"/>
      <c r="I589" s="1"/>
      <c r="J589" s="1"/>
      <c r="K589" s="1"/>
      <c r="L589" s="1"/>
      <c r="M589" s="1"/>
      <c r="N589" s="1"/>
      <c r="O589" s="1"/>
      <c r="P589" s="1"/>
      <c r="Q589" s="1"/>
      <c r="R589" s="1"/>
      <c r="S589" s="1"/>
      <c r="T589" s="1"/>
      <c r="U589" s="1"/>
    </row>
    <row r="590" spans="1:21" x14ac:dyDescent="0.25">
      <c r="A590" s="1"/>
      <c r="B590" s="1"/>
      <c r="C590" s="1"/>
      <c r="D590" s="1"/>
      <c r="E590" s="1"/>
      <c r="F590" s="1"/>
      <c r="G590" s="1"/>
      <c r="H590" s="1"/>
      <c r="I590" s="1"/>
      <c r="J590" s="1"/>
      <c r="K590" s="1"/>
      <c r="L590" s="1"/>
      <c r="M590" s="1"/>
      <c r="N590" s="1"/>
      <c r="O590" s="1"/>
      <c r="P590" s="1"/>
      <c r="Q590" s="1"/>
      <c r="R590" s="1"/>
      <c r="S590" s="1"/>
      <c r="T590" s="1"/>
      <c r="U590" s="1"/>
    </row>
    <row r="591" spans="1:21" x14ac:dyDescent="0.25">
      <c r="A591" s="1"/>
      <c r="B591" s="1"/>
      <c r="C591" s="1"/>
      <c r="D591" s="1"/>
      <c r="E591" s="1"/>
      <c r="F591" s="1"/>
      <c r="G591" s="1"/>
      <c r="H591" s="1"/>
      <c r="I591" s="1"/>
      <c r="J591" s="1"/>
      <c r="K591" s="1"/>
      <c r="L591" s="1"/>
      <c r="M591" s="1"/>
      <c r="N591" s="1"/>
      <c r="O591" s="1"/>
      <c r="P591" s="1"/>
      <c r="Q591" s="1"/>
      <c r="R591" s="1"/>
      <c r="S591" s="1"/>
      <c r="T591" s="1"/>
      <c r="U591" s="1"/>
    </row>
    <row r="592" spans="1:21" x14ac:dyDescent="0.25">
      <c r="A592" s="1"/>
      <c r="B592" s="1"/>
      <c r="C592" s="1"/>
      <c r="D592" s="1"/>
      <c r="E592" s="1"/>
      <c r="F592" s="1"/>
      <c r="G592" s="1"/>
      <c r="H592" s="1"/>
      <c r="I592" s="1"/>
      <c r="J592" s="1"/>
      <c r="K592" s="1"/>
      <c r="L592" s="1"/>
      <c r="M592" s="1"/>
      <c r="N592" s="1"/>
      <c r="O592" s="1"/>
      <c r="P592" s="1"/>
      <c r="Q592" s="1"/>
      <c r="R592" s="1"/>
      <c r="S592" s="1"/>
      <c r="T592" s="1"/>
      <c r="U592" s="1"/>
    </row>
    <row r="593" spans="1:21" x14ac:dyDescent="0.25">
      <c r="A593" s="1"/>
      <c r="B593" s="1"/>
      <c r="C593" s="1"/>
      <c r="D593" s="1"/>
      <c r="E593" s="1"/>
      <c r="F593" s="1"/>
      <c r="G593" s="1"/>
      <c r="H593" s="1"/>
      <c r="I593" s="1"/>
      <c r="J593" s="1"/>
      <c r="K593" s="1"/>
      <c r="L593" s="1"/>
      <c r="M593" s="1"/>
      <c r="N593" s="1"/>
      <c r="O593" s="1"/>
      <c r="P593" s="1"/>
      <c r="Q593" s="1"/>
      <c r="R593" s="1"/>
      <c r="S593" s="1"/>
      <c r="T593" s="1"/>
      <c r="U593" s="1"/>
    </row>
    <row r="594" spans="1:21" x14ac:dyDescent="0.25">
      <c r="A594" s="1"/>
      <c r="B594" s="1"/>
      <c r="C594" s="1"/>
      <c r="D594" s="1"/>
      <c r="E594" s="1"/>
      <c r="F594" s="1"/>
      <c r="G594" s="1"/>
      <c r="H594" s="1"/>
      <c r="I594" s="1"/>
      <c r="J594" s="1"/>
      <c r="K594" s="1"/>
      <c r="L594" s="1"/>
      <c r="M594" s="1"/>
      <c r="N594" s="1"/>
      <c r="O594" s="1"/>
      <c r="P594" s="1"/>
      <c r="Q594" s="1"/>
      <c r="R594" s="1"/>
      <c r="S594" s="1"/>
      <c r="T594" s="1"/>
      <c r="U594" s="1"/>
    </row>
    <row r="595" spans="1:21" x14ac:dyDescent="0.25">
      <c r="A595" s="1"/>
      <c r="B595" s="1"/>
      <c r="C595" s="1"/>
      <c r="D595" s="1"/>
      <c r="E595" s="1"/>
      <c r="F595" s="1"/>
      <c r="G595" s="1"/>
      <c r="H595" s="1"/>
      <c r="I595" s="1"/>
      <c r="J595" s="1"/>
      <c r="K595" s="1"/>
      <c r="L595" s="1"/>
      <c r="M595" s="1"/>
      <c r="N595" s="1"/>
      <c r="O595" s="1"/>
      <c r="P595" s="1"/>
      <c r="Q595" s="1"/>
      <c r="R595" s="1"/>
      <c r="S595" s="1"/>
      <c r="T595" s="1"/>
      <c r="U595" s="1"/>
    </row>
    <row r="596" spans="1:21" x14ac:dyDescent="0.25">
      <c r="A596" s="1"/>
      <c r="B596" s="1"/>
      <c r="C596" s="1"/>
      <c r="D596" s="1"/>
      <c r="E596" s="1"/>
      <c r="F596" s="1"/>
      <c r="G596" s="1"/>
      <c r="H596" s="1"/>
      <c r="I596" s="1"/>
      <c r="J596" s="1"/>
      <c r="K596" s="1"/>
      <c r="L596" s="1"/>
      <c r="M596" s="1"/>
      <c r="N596" s="1"/>
      <c r="O596" s="1"/>
      <c r="P596" s="1"/>
      <c r="Q596" s="1"/>
      <c r="R596" s="1"/>
      <c r="S596" s="1"/>
      <c r="T596" s="1"/>
      <c r="U596" s="1"/>
    </row>
    <row r="597" spans="1:21" x14ac:dyDescent="0.25">
      <c r="A597" s="1"/>
      <c r="B597" s="1"/>
      <c r="C597" s="1"/>
      <c r="D597" s="1"/>
      <c r="E597" s="1"/>
      <c r="F597" s="1"/>
      <c r="G597" s="1"/>
      <c r="H597" s="1"/>
      <c r="I597" s="1"/>
      <c r="J597" s="1"/>
      <c r="K597" s="1"/>
      <c r="L597" s="1"/>
      <c r="M597" s="1"/>
      <c r="N597" s="1"/>
      <c r="O597" s="1"/>
      <c r="P597" s="1"/>
      <c r="Q597" s="1"/>
      <c r="R597" s="1"/>
      <c r="S597" s="1"/>
      <c r="T597" s="1"/>
      <c r="U597" s="1"/>
    </row>
    <row r="598" spans="1:21" x14ac:dyDescent="0.25">
      <c r="A598" s="1"/>
      <c r="B598" s="1"/>
      <c r="C598" s="1"/>
      <c r="D598" s="1"/>
      <c r="E598" s="1"/>
      <c r="F598" s="1"/>
      <c r="G598" s="1"/>
      <c r="H598" s="1"/>
      <c r="I598" s="1"/>
      <c r="J598" s="1"/>
      <c r="K598" s="1"/>
      <c r="L598" s="1"/>
      <c r="M598" s="1"/>
      <c r="N598" s="1"/>
      <c r="O598" s="1"/>
      <c r="P598" s="1"/>
      <c r="Q598" s="1"/>
      <c r="R598" s="1"/>
      <c r="S598" s="1"/>
      <c r="T598" s="1"/>
      <c r="U598" s="1"/>
    </row>
    <row r="599" spans="1:21" x14ac:dyDescent="0.25">
      <c r="A599" s="1"/>
      <c r="B599" s="1"/>
      <c r="C599" s="1"/>
      <c r="D599" s="1"/>
      <c r="E599" s="1"/>
      <c r="F599" s="1"/>
      <c r="G599" s="1"/>
      <c r="H599" s="1"/>
      <c r="I599" s="1"/>
      <c r="J599" s="1"/>
      <c r="K599" s="1"/>
      <c r="L599" s="1"/>
      <c r="M599" s="1"/>
      <c r="N599" s="1"/>
      <c r="O599" s="1"/>
      <c r="P599" s="1"/>
      <c r="Q599" s="1"/>
      <c r="R599" s="1"/>
      <c r="S599" s="1"/>
      <c r="T599" s="1"/>
      <c r="U599" s="1"/>
    </row>
    <row r="600" spans="1:21" x14ac:dyDescent="0.25">
      <c r="A600" s="1"/>
      <c r="B600" s="1"/>
      <c r="C600" s="1"/>
      <c r="D600" s="1"/>
      <c r="E600" s="1"/>
      <c r="F600" s="1"/>
      <c r="G600" s="1"/>
      <c r="H600" s="1"/>
      <c r="I600" s="1"/>
      <c r="J600" s="1"/>
      <c r="K600" s="1"/>
      <c r="L600" s="1"/>
      <c r="M600" s="1"/>
      <c r="N600" s="1"/>
      <c r="O600" s="1"/>
      <c r="P600" s="1"/>
      <c r="Q600" s="1"/>
      <c r="R600" s="1"/>
      <c r="S600" s="1"/>
      <c r="T600" s="1"/>
      <c r="U600" s="1"/>
    </row>
    <row r="601" spans="1:21" x14ac:dyDescent="0.25">
      <c r="A601" s="1"/>
      <c r="B601" s="1"/>
      <c r="C601" s="1"/>
      <c r="D601" s="1"/>
      <c r="E601" s="1"/>
      <c r="F601" s="1"/>
      <c r="G601" s="1"/>
      <c r="H601" s="1"/>
      <c r="I601" s="1"/>
      <c r="J601" s="1"/>
      <c r="K601" s="1"/>
      <c r="L601" s="1"/>
      <c r="M601" s="1"/>
      <c r="N601" s="1"/>
      <c r="O601" s="1"/>
      <c r="P601" s="1"/>
      <c r="Q601" s="1"/>
      <c r="R601" s="1"/>
      <c r="S601" s="1"/>
      <c r="T601" s="1"/>
      <c r="U601" s="1"/>
    </row>
    <row r="602" spans="1:21" x14ac:dyDescent="0.25">
      <c r="A602" s="1"/>
      <c r="B602" s="1"/>
      <c r="C602" s="1"/>
      <c r="D602" s="1"/>
      <c r="E602" s="1"/>
      <c r="F602" s="1"/>
      <c r="G602" s="1"/>
      <c r="H602" s="1"/>
      <c r="I602" s="1"/>
      <c r="J602" s="1"/>
      <c r="K602" s="1"/>
      <c r="L602" s="1"/>
      <c r="M602" s="1"/>
      <c r="N602" s="1"/>
      <c r="O602" s="1"/>
      <c r="P602" s="1"/>
      <c r="Q602" s="1"/>
      <c r="R602" s="1"/>
      <c r="S602" s="1"/>
      <c r="T602" s="1"/>
      <c r="U602" s="1"/>
    </row>
    <row r="603" spans="1:21" x14ac:dyDescent="0.25">
      <c r="A603" s="1"/>
      <c r="B603" s="1"/>
      <c r="C603" s="1"/>
      <c r="D603" s="1"/>
      <c r="E603" s="1"/>
      <c r="F603" s="1"/>
      <c r="G603" s="1"/>
      <c r="H603" s="1"/>
      <c r="I603" s="1"/>
      <c r="J603" s="1"/>
      <c r="K603" s="1"/>
      <c r="L603" s="1"/>
      <c r="M603" s="1"/>
      <c r="N603" s="1"/>
      <c r="O603" s="1"/>
      <c r="P603" s="1"/>
      <c r="Q603" s="1"/>
      <c r="R603" s="1"/>
      <c r="S603" s="1"/>
      <c r="T603" s="1"/>
      <c r="U603" s="1"/>
    </row>
    <row r="604" spans="1:21" x14ac:dyDescent="0.25">
      <c r="A604" s="1"/>
      <c r="B604" s="1"/>
      <c r="C604" s="1"/>
      <c r="D604" s="1"/>
      <c r="E604" s="1"/>
      <c r="F604" s="1"/>
      <c r="G604" s="1"/>
      <c r="H604" s="1"/>
      <c r="I604" s="1"/>
      <c r="J604" s="1"/>
      <c r="K604" s="1"/>
      <c r="L604" s="1"/>
      <c r="M604" s="1"/>
      <c r="N604" s="1"/>
      <c r="O604" s="1"/>
      <c r="P604" s="1"/>
      <c r="Q604" s="1"/>
      <c r="R604" s="1"/>
      <c r="S604" s="1"/>
      <c r="T604" s="1"/>
      <c r="U604" s="1"/>
    </row>
    <row r="605" spans="1:21" x14ac:dyDescent="0.25">
      <c r="A605" s="1"/>
      <c r="B605" s="1"/>
      <c r="C605" s="1"/>
      <c r="D605" s="1"/>
      <c r="E605" s="1"/>
      <c r="F605" s="1"/>
      <c r="G605" s="1"/>
      <c r="H605" s="1"/>
      <c r="I605" s="1"/>
      <c r="J605" s="1"/>
      <c r="K605" s="1"/>
      <c r="L605" s="1"/>
      <c r="M605" s="1"/>
      <c r="N605" s="1"/>
      <c r="O605" s="1"/>
      <c r="P605" s="1"/>
      <c r="Q605" s="1"/>
      <c r="R605" s="1"/>
      <c r="S605" s="1"/>
      <c r="T605" s="1"/>
      <c r="U605" s="1"/>
    </row>
    <row r="606" spans="1:21" x14ac:dyDescent="0.25">
      <c r="A606" s="1"/>
      <c r="B606" s="1"/>
      <c r="C606" s="1"/>
      <c r="D606" s="1"/>
      <c r="E606" s="1"/>
      <c r="F606" s="1"/>
      <c r="G606" s="1"/>
      <c r="H606" s="1"/>
      <c r="I606" s="1"/>
      <c r="J606" s="1"/>
      <c r="K606" s="1"/>
      <c r="L606" s="1"/>
      <c r="M606" s="1"/>
      <c r="N606" s="1"/>
      <c r="O606" s="1"/>
      <c r="P606" s="1"/>
      <c r="Q606" s="1"/>
      <c r="R606" s="1"/>
      <c r="S606" s="1"/>
      <c r="T606" s="1"/>
      <c r="U606" s="1"/>
    </row>
    <row r="607" spans="1:21" x14ac:dyDescent="0.25">
      <c r="A607" s="1"/>
      <c r="B607" s="1"/>
      <c r="C607" s="1"/>
      <c r="D607" s="1"/>
      <c r="E607" s="1"/>
      <c r="F607" s="1"/>
      <c r="G607" s="1"/>
      <c r="H607" s="1"/>
      <c r="I607" s="1"/>
      <c r="J607" s="1"/>
      <c r="K607" s="1"/>
      <c r="L607" s="1"/>
      <c r="M607" s="1"/>
      <c r="N607" s="1"/>
      <c r="O607" s="1"/>
      <c r="P607" s="1"/>
      <c r="Q607" s="1"/>
      <c r="R607" s="1"/>
      <c r="S607" s="1"/>
      <c r="T607" s="1"/>
      <c r="U607" s="1"/>
    </row>
    <row r="608" spans="1:21" x14ac:dyDescent="0.25">
      <c r="A608" s="1"/>
      <c r="B608" s="1"/>
      <c r="C608" s="1"/>
      <c r="D608" s="1"/>
      <c r="E608" s="1"/>
      <c r="F608" s="1"/>
      <c r="G608" s="1"/>
      <c r="H608" s="1"/>
      <c r="I608" s="1"/>
      <c r="J608" s="1"/>
      <c r="K608" s="1"/>
      <c r="L608" s="1"/>
      <c r="M608" s="1"/>
      <c r="N608" s="1"/>
      <c r="O608" s="1"/>
      <c r="P608" s="1"/>
      <c r="Q608" s="1"/>
      <c r="R608" s="1"/>
      <c r="S608" s="1"/>
      <c r="T608" s="1"/>
      <c r="U608" s="1"/>
    </row>
    <row r="609" spans="1:21" x14ac:dyDescent="0.25">
      <c r="A609" s="1"/>
      <c r="B609" s="1"/>
      <c r="C609" s="1"/>
      <c r="D609" s="1"/>
      <c r="E609" s="1"/>
      <c r="F609" s="1"/>
      <c r="G609" s="1"/>
      <c r="H609" s="1"/>
      <c r="I609" s="1"/>
      <c r="J609" s="1"/>
      <c r="K609" s="1"/>
      <c r="L609" s="1"/>
      <c r="M609" s="1"/>
      <c r="N609" s="1"/>
      <c r="O609" s="1"/>
      <c r="P609" s="1"/>
      <c r="Q609" s="1"/>
      <c r="R609" s="1"/>
      <c r="S609" s="1"/>
      <c r="T609" s="1"/>
      <c r="U609" s="1"/>
    </row>
    <row r="610" spans="1:21" x14ac:dyDescent="0.25">
      <c r="A610" s="1"/>
      <c r="B610" s="1"/>
      <c r="C610" s="1"/>
      <c r="D610" s="1"/>
      <c r="E610" s="1"/>
      <c r="F610" s="1"/>
      <c r="G610" s="1"/>
      <c r="H610" s="1"/>
      <c r="I610" s="1"/>
      <c r="J610" s="1"/>
      <c r="K610" s="1"/>
      <c r="L610" s="1"/>
      <c r="M610" s="1"/>
      <c r="N610" s="1"/>
      <c r="O610" s="1"/>
      <c r="P610" s="1"/>
      <c r="Q610" s="1"/>
      <c r="R610" s="1"/>
      <c r="S610" s="1"/>
      <c r="T610" s="1"/>
      <c r="U610" s="1"/>
    </row>
    <row r="611" spans="1:21" x14ac:dyDescent="0.25">
      <c r="A611" s="1"/>
      <c r="B611" s="1"/>
      <c r="C611" s="1"/>
      <c r="D611" s="1"/>
      <c r="E611" s="1"/>
      <c r="F611" s="1"/>
      <c r="G611" s="1"/>
      <c r="H611" s="1"/>
      <c r="I611" s="1"/>
      <c r="J611" s="1"/>
      <c r="K611" s="1"/>
      <c r="L611" s="1"/>
      <c r="M611" s="1"/>
      <c r="N611" s="1"/>
      <c r="O611" s="1"/>
      <c r="P611" s="1"/>
      <c r="Q611" s="1"/>
      <c r="R611" s="1"/>
      <c r="S611" s="1"/>
      <c r="T611" s="1"/>
      <c r="U611" s="1"/>
    </row>
    <row r="612" spans="1:21" x14ac:dyDescent="0.25">
      <c r="A612" s="1"/>
      <c r="B612" s="1"/>
      <c r="C612" s="1"/>
      <c r="D612" s="1"/>
      <c r="E612" s="1"/>
      <c r="F612" s="1"/>
      <c r="G612" s="1"/>
      <c r="H612" s="1"/>
      <c r="I612" s="1"/>
      <c r="J612" s="1"/>
      <c r="K612" s="1"/>
      <c r="L612" s="1"/>
      <c r="M612" s="1"/>
      <c r="N612" s="1"/>
      <c r="O612" s="1"/>
      <c r="P612" s="1"/>
      <c r="Q612" s="1"/>
      <c r="R612" s="1"/>
      <c r="S612" s="1"/>
      <c r="T612" s="1"/>
      <c r="U612" s="1"/>
    </row>
    <row r="613" spans="1:21" x14ac:dyDescent="0.25">
      <c r="A613" s="1"/>
      <c r="B613" s="1"/>
      <c r="C613" s="1"/>
      <c r="D613" s="1"/>
      <c r="E613" s="1"/>
      <c r="F613" s="1"/>
      <c r="G613" s="1"/>
      <c r="H613" s="1"/>
      <c r="I613" s="1"/>
      <c r="J613" s="1"/>
      <c r="K613" s="1"/>
      <c r="L613" s="1"/>
      <c r="M613" s="1"/>
      <c r="N613" s="1"/>
      <c r="O613" s="1"/>
      <c r="P613" s="1"/>
      <c r="Q613" s="1"/>
      <c r="R613" s="1"/>
      <c r="S613" s="1"/>
      <c r="T613" s="1"/>
      <c r="U613" s="1"/>
    </row>
    <row r="614" spans="1:21" x14ac:dyDescent="0.25">
      <c r="A614" s="1"/>
      <c r="B614" s="1"/>
      <c r="C614" s="1"/>
      <c r="D614" s="1"/>
      <c r="E614" s="1"/>
      <c r="F614" s="1"/>
      <c r="G614" s="1"/>
      <c r="H614" s="1"/>
      <c r="I614" s="1"/>
      <c r="J614" s="1"/>
      <c r="K614" s="1"/>
      <c r="L614" s="1"/>
      <c r="M614" s="1"/>
      <c r="N614" s="1"/>
      <c r="O614" s="1"/>
      <c r="P614" s="1"/>
      <c r="Q614" s="1"/>
      <c r="R614" s="1"/>
      <c r="S614" s="1"/>
      <c r="T614" s="1"/>
      <c r="U614" s="1"/>
    </row>
    <row r="615" spans="1:21" x14ac:dyDescent="0.25">
      <c r="A615" s="1"/>
      <c r="B615" s="1"/>
      <c r="C615" s="1"/>
      <c r="D615" s="1"/>
      <c r="E615" s="1"/>
      <c r="F615" s="1"/>
      <c r="G615" s="1"/>
      <c r="H615" s="1"/>
      <c r="I615" s="1"/>
      <c r="J615" s="1"/>
      <c r="K615" s="1"/>
      <c r="L615" s="1"/>
      <c r="M615" s="1"/>
      <c r="N615" s="1"/>
      <c r="O615" s="1"/>
      <c r="P615" s="1"/>
      <c r="Q615" s="1"/>
      <c r="R615" s="1"/>
      <c r="S615" s="1"/>
      <c r="T615" s="1"/>
      <c r="U615" s="1"/>
    </row>
    <row r="616" spans="1:21" x14ac:dyDescent="0.25">
      <c r="A616" s="1"/>
      <c r="B616" s="1"/>
      <c r="C616" s="1"/>
      <c r="D616" s="1"/>
      <c r="E616" s="1"/>
      <c r="F616" s="1"/>
      <c r="G616" s="1"/>
      <c r="H616" s="1"/>
      <c r="I616" s="1"/>
      <c r="J616" s="1"/>
      <c r="K616" s="1"/>
      <c r="L616" s="1"/>
      <c r="M616" s="1"/>
      <c r="N616" s="1"/>
      <c r="O616" s="1"/>
      <c r="P616" s="1"/>
      <c r="Q616" s="1"/>
      <c r="R616" s="1"/>
      <c r="S616" s="1"/>
      <c r="T616" s="1"/>
      <c r="U616" s="1"/>
    </row>
    <row r="617" spans="1:21" x14ac:dyDescent="0.25">
      <c r="A617" s="1"/>
      <c r="B617" s="1"/>
      <c r="C617" s="1"/>
      <c r="D617" s="1"/>
      <c r="E617" s="1"/>
      <c r="F617" s="1"/>
      <c r="G617" s="1"/>
      <c r="H617" s="1"/>
      <c r="I617" s="1"/>
      <c r="J617" s="1"/>
      <c r="K617" s="1"/>
      <c r="L617" s="1"/>
      <c r="M617" s="1"/>
      <c r="N617" s="1"/>
      <c r="O617" s="1"/>
      <c r="P617" s="1"/>
      <c r="Q617" s="1"/>
      <c r="R617" s="1"/>
      <c r="S617" s="1"/>
      <c r="T617" s="1"/>
      <c r="U617" s="1"/>
    </row>
    <row r="618" spans="1:21" x14ac:dyDescent="0.25">
      <c r="A618" s="1"/>
      <c r="B618" s="1"/>
      <c r="C618" s="1"/>
      <c r="D618" s="1"/>
      <c r="E618" s="1"/>
      <c r="F618" s="1"/>
      <c r="G618" s="1"/>
      <c r="H618" s="1"/>
      <c r="I618" s="1"/>
      <c r="J618" s="1"/>
      <c r="K618" s="1"/>
      <c r="L618" s="1"/>
      <c r="M618" s="1"/>
      <c r="N618" s="1"/>
      <c r="O618" s="1"/>
      <c r="P618" s="1"/>
      <c r="Q618" s="1"/>
      <c r="R618" s="1"/>
      <c r="S618" s="1"/>
      <c r="T618" s="1"/>
      <c r="U618" s="1"/>
    </row>
    <row r="619" spans="1:21" x14ac:dyDescent="0.25">
      <c r="A619" s="1"/>
      <c r="B619" s="1"/>
      <c r="C619" s="1"/>
      <c r="D619" s="1"/>
      <c r="E619" s="1"/>
      <c r="F619" s="1"/>
      <c r="G619" s="1"/>
      <c r="H619" s="1"/>
      <c r="I619" s="1"/>
      <c r="J619" s="1"/>
      <c r="K619" s="1"/>
      <c r="L619" s="1"/>
      <c r="M619" s="1"/>
      <c r="N619" s="1"/>
      <c r="O619" s="1"/>
      <c r="P619" s="1"/>
      <c r="Q619" s="1"/>
      <c r="R619" s="1"/>
      <c r="S619" s="1"/>
      <c r="T619" s="1"/>
      <c r="U619" s="1"/>
    </row>
    <row r="620" spans="1:21" x14ac:dyDescent="0.25">
      <c r="A620" s="1"/>
      <c r="B620" s="1"/>
      <c r="C620" s="1"/>
      <c r="D620" s="1"/>
      <c r="E620" s="1"/>
      <c r="F620" s="1"/>
      <c r="G620" s="1"/>
      <c r="H620" s="1"/>
      <c r="I620" s="1"/>
      <c r="J620" s="1"/>
      <c r="K620" s="1"/>
      <c r="L620" s="1"/>
      <c r="M620" s="1"/>
      <c r="N620" s="1"/>
      <c r="O620" s="1"/>
      <c r="P620" s="1"/>
      <c r="Q620" s="1"/>
      <c r="R620" s="1"/>
      <c r="S620" s="1"/>
      <c r="T620" s="1"/>
      <c r="U620" s="1"/>
    </row>
    <row r="621" spans="1:21" x14ac:dyDescent="0.25">
      <c r="A621" s="1"/>
      <c r="B621" s="1"/>
      <c r="C621" s="1"/>
      <c r="D621" s="1"/>
      <c r="E621" s="1"/>
      <c r="F621" s="1"/>
      <c r="G621" s="1"/>
      <c r="H621" s="1"/>
      <c r="I621" s="1"/>
      <c r="J621" s="1"/>
      <c r="K621" s="1"/>
      <c r="L621" s="1"/>
      <c r="M621" s="1"/>
      <c r="N621" s="1"/>
      <c r="O621" s="1"/>
      <c r="P621" s="1"/>
      <c r="Q621" s="1"/>
      <c r="R621" s="1"/>
      <c r="S621" s="1"/>
      <c r="T621" s="1"/>
      <c r="U621" s="1"/>
    </row>
    <row r="622" spans="1:21" x14ac:dyDescent="0.25">
      <c r="A622" s="1"/>
      <c r="B622" s="1"/>
      <c r="C622" s="1"/>
      <c r="D622" s="1"/>
      <c r="E622" s="1"/>
      <c r="F622" s="1"/>
      <c r="G622" s="1"/>
      <c r="H622" s="1"/>
      <c r="I622" s="1"/>
      <c r="J622" s="1"/>
      <c r="K622" s="1"/>
      <c r="L622" s="1"/>
      <c r="M622" s="1"/>
      <c r="N622" s="1"/>
      <c r="O622" s="1"/>
      <c r="P622" s="1"/>
      <c r="Q622" s="1"/>
      <c r="R622" s="1"/>
      <c r="S622" s="1"/>
      <c r="T622" s="1"/>
      <c r="U622" s="1"/>
    </row>
    <row r="623" spans="1:21" x14ac:dyDescent="0.25">
      <c r="A623" s="1"/>
      <c r="B623" s="1"/>
      <c r="C623" s="1"/>
      <c r="D623" s="1"/>
      <c r="E623" s="1"/>
      <c r="F623" s="1"/>
      <c r="G623" s="1"/>
      <c r="H623" s="1"/>
      <c r="I623" s="1"/>
      <c r="J623" s="1"/>
      <c r="K623" s="1"/>
      <c r="L623" s="1"/>
      <c r="M623" s="1"/>
      <c r="N623" s="1"/>
      <c r="O623" s="1"/>
      <c r="P623" s="1"/>
      <c r="Q623" s="1"/>
      <c r="R623" s="1"/>
      <c r="S623" s="1"/>
      <c r="T623" s="1"/>
      <c r="U623" s="1"/>
    </row>
    <row r="624" spans="1:21" x14ac:dyDescent="0.25">
      <c r="A624" s="1"/>
      <c r="B624" s="1"/>
      <c r="C624" s="1"/>
      <c r="D624" s="1"/>
      <c r="E624" s="1"/>
      <c r="F624" s="1"/>
      <c r="G624" s="1"/>
      <c r="H624" s="1"/>
      <c r="I624" s="1"/>
      <c r="J624" s="1"/>
      <c r="K624" s="1"/>
      <c r="L624" s="1"/>
      <c r="M624" s="1"/>
      <c r="N624" s="1"/>
      <c r="O624" s="1"/>
      <c r="P624" s="1"/>
      <c r="Q624" s="1"/>
      <c r="R624" s="1"/>
      <c r="S624" s="1"/>
      <c r="T624" s="1"/>
      <c r="U624" s="1"/>
    </row>
    <row r="625" spans="1:21" x14ac:dyDescent="0.25">
      <c r="A625" s="1"/>
      <c r="B625" s="1"/>
      <c r="C625" s="1"/>
      <c r="D625" s="1"/>
      <c r="E625" s="1"/>
      <c r="F625" s="1"/>
      <c r="G625" s="1"/>
      <c r="H625" s="1"/>
      <c r="I625" s="1"/>
      <c r="J625" s="1"/>
      <c r="K625" s="1"/>
      <c r="L625" s="1"/>
      <c r="M625" s="1"/>
      <c r="N625" s="1"/>
      <c r="O625" s="1"/>
      <c r="P625" s="1"/>
      <c r="Q625" s="1"/>
      <c r="R625" s="1"/>
      <c r="S625" s="1"/>
      <c r="T625" s="1"/>
      <c r="U625" s="1"/>
    </row>
    <row r="626" spans="1:21" x14ac:dyDescent="0.25">
      <c r="A626" s="1"/>
      <c r="B626" s="1"/>
      <c r="C626" s="1"/>
      <c r="D626" s="1"/>
      <c r="E626" s="1"/>
      <c r="F626" s="1"/>
      <c r="G626" s="1"/>
      <c r="H626" s="1"/>
      <c r="I626" s="1"/>
      <c r="J626" s="1"/>
      <c r="K626" s="1"/>
      <c r="L626" s="1"/>
      <c r="M626" s="1"/>
      <c r="N626" s="1"/>
      <c r="O626" s="1"/>
      <c r="P626" s="1"/>
      <c r="Q626" s="1"/>
      <c r="R626" s="1"/>
      <c r="S626" s="1"/>
      <c r="T626" s="1"/>
      <c r="U626" s="1"/>
    </row>
    <row r="627" spans="1:21" x14ac:dyDescent="0.25">
      <c r="A627" s="1"/>
      <c r="B627" s="1"/>
      <c r="C627" s="1"/>
      <c r="D627" s="1"/>
      <c r="E627" s="1"/>
      <c r="F627" s="1"/>
      <c r="G627" s="1"/>
      <c r="H627" s="1"/>
      <c r="I627" s="1"/>
      <c r="J627" s="1"/>
      <c r="K627" s="1"/>
      <c r="L627" s="1"/>
      <c r="M627" s="1"/>
      <c r="N627" s="1"/>
      <c r="O627" s="1"/>
      <c r="P627" s="1"/>
      <c r="Q627" s="1"/>
      <c r="R627" s="1"/>
      <c r="S627" s="1"/>
      <c r="T627" s="1"/>
      <c r="U627" s="1"/>
    </row>
    <row r="628" spans="1:21" x14ac:dyDescent="0.25">
      <c r="A628" s="1"/>
      <c r="B628" s="1"/>
      <c r="C628" s="1"/>
      <c r="D628" s="1"/>
      <c r="E628" s="1"/>
      <c r="F628" s="1"/>
      <c r="G628" s="1"/>
      <c r="H628" s="1"/>
      <c r="I628" s="1"/>
      <c r="J628" s="1"/>
      <c r="K628" s="1"/>
      <c r="L628" s="1"/>
      <c r="M628" s="1"/>
      <c r="N628" s="1"/>
      <c r="O628" s="1"/>
      <c r="P628" s="1"/>
      <c r="Q628" s="1"/>
      <c r="R628" s="1"/>
      <c r="S628" s="1"/>
      <c r="T628" s="1"/>
      <c r="U628" s="1"/>
    </row>
    <row r="629" spans="1:21" x14ac:dyDescent="0.25">
      <c r="A629" s="1"/>
      <c r="B629" s="1"/>
      <c r="C629" s="1"/>
      <c r="D629" s="1"/>
      <c r="E629" s="1"/>
      <c r="F629" s="1"/>
      <c r="G629" s="1"/>
      <c r="H629" s="1"/>
      <c r="I629" s="1"/>
      <c r="J629" s="1"/>
      <c r="K629" s="1"/>
      <c r="L629" s="1"/>
      <c r="M629" s="1"/>
      <c r="N629" s="1"/>
      <c r="O629" s="1"/>
      <c r="P629" s="1"/>
      <c r="Q629" s="1"/>
      <c r="R629" s="1"/>
      <c r="S629" s="1"/>
      <c r="T629" s="1"/>
      <c r="U629" s="1"/>
    </row>
    <row r="630" spans="1:21" x14ac:dyDescent="0.25">
      <c r="A630" s="1"/>
      <c r="B630" s="1"/>
      <c r="C630" s="1"/>
      <c r="D630" s="1"/>
      <c r="E630" s="1"/>
      <c r="F630" s="1"/>
      <c r="G630" s="1"/>
      <c r="H630" s="1"/>
      <c r="I630" s="1"/>
      <c r="J630" s="1"/>
      <c r="K630" s="1"/>
      <c r="L630" s="1"/>
      <c r="M630" s="1"/>
      <c r="N630" s="1"/>
      <c r="O630" s="1"/>
      <c r="P630" s="1"/>
      <c r="Q630" s="1"/>
      <c r="R630" s="1"/>
      <c r="S630" s="1"/>
      <c r="T630" s="1"/>
      <c r="U630" s="1"/>
    </row>
    <row r="631" spans="1:21" x14ac:dyDescent="0.25">
      <c r="A631" s="1"/>
      <c r="B631" s="1"/>
      <c r="C631" s="1"/>
      <c r="D631" s="1"/>
      <c r="E631" s="1"/>
      <c r="F631" s="1"/>
      <c r="G631" s="1"/>
      <c r="H631" s="1"/>
      <c r="I631" s="1"/>
      <c r="J631" s="1"/>
      <c r="K631" s="1"/>
      <c r="L631" s="1"/>
      <c r="M631" s="1"/>
      <c r="N631" s="1"/>
      <c r="O631" s="1"/>
      <c r="P631" s="1"/>
      <c r="Q631" s="1"/>
      <c r="R631" s="1"/>
      <c r="S631" s="1"/>
      <c r="T631" s="1"/>
      <c r="U631" s="1"/>
    </row>
    <row r="632" spans="1:21" x14ac:dyDescent="0.25">
      <c r="A632" s="1"/>
      <c r="B632" s="1"/>
      <c r="C632" s="1"/>
      <c r="D632" s="1"/>
      <c r="E632" s="1"/>
      <c r="F632" s="1"/>
      <c r="G632" s="1"/>
      <c r="H632" s="1"/>
      <c r="I632" s="1"/>
      <c r="J632" s="1"/>
      <c r="K632" s="1"/>
      <c r="L632" s="1"/>
      <c r="M632" s="1"/>
      <c r="N632" s="1"/>
      <c r="O632" s="1"/>
      <c r="P632" s="1"/>
      <c r="Q632" s="1"/>
      <c r="R632" s="1"/>
      <c r="S632" s="1"/>
      <c r="T632" s="1"/>
      <c r="U632" s="1"/>
    </row>
    <row r="633" spans="1:21" x14ac:dyDescent="0.25">
      <c r="A633" s="1"/>
      <c r="B633" s="1"/>
      <c r="C633" s="1"/>
      <c r="D633" s="1"/>
      <c r="E633" s="1"/>
      <c r="F633" s="1"/>
      <c r="G633" s="1"/>
      <c r="H633" s="1"/>
      <c r="I633" s="1"/>
      <c r="J633" s="1"/>
      <c r="K633" s="1"/>
      <c r="L633" s="1"/>
      <c r="M633" s="1"/>
      <c r="N633" s="1"/>
      <c r="O633" s="1"/>
      <c r="P633" s="1"/>
      <c r="Q633" s="1"/>
      <c r="R633" s="1"/>
      <c r="S633" s="1"/>
      <c r="T633" s="1"/>
      <c r="U633" s="1"/>
    </row>
    <row r="634" spans="1:21" x14ac:dyDescent="0.25">
      <c r="A634" s="1"/>
      <c r="B634" s="1"/>
      <c r="C634" s="1"/>
      <c r="D634" s="1"/>
      <c r="E634" s="1"/>
      <c r="F634" s="1"/>
      <c r="G634" s="1"/>
      <c r="H634" s="1"/>
      <c r="I634" s="1"/>
      <c r="J634" s="1"/>
      <c r="K634" s="1"/>
      <c r="L634" s="1"/>
      <c r="M634" s="1"/>
      <c r="N634" s="1"/>
      <c r="O634" s="1"/>
      <c r="P634" s="1"/>
      <c r="Q634" s="1"/>
      <c r="R634" s="1"/>
      <c r="S634" s="1"/>
      <c r="T634" s="1"/>
      <c r="U634" s="1"/>
    </row>
    <row r="635" spans="1:21" x14ac:dyDescent="0.25">
      <c r="A635" s="1"/>
      <c r="B635" s="1"/>
      <c r="C635" s="1"/>
      <c r="D635" s="1"/>
      <c r="E635" s="1"/>
      <c r="F635" s="1"/>
      <c r="G635" s="1"/>
      <c r="H635" s="1"/>
      <c r="I635" s="1"/>
      <c r="J635" s="1"/>
      <c r="K635" s="1"/>
      <c r="L635" s="1"/>
      <c r="M635" s="1"/>
      <c r="N635" s="1"/>
      <c r="O635" s="1"/>
      <c r="P635" s="1"/>
      <c r="Q635" s="1"/>
      <c r="R635" s="1"/>
      <c r="S635" s="1"/>
      <c r="T635" s="1"/>
      <c r="U635" s="1"/>
    </row>
    <row r="636" spans="1:21" x14ac:dyDescent="0.25">
      <c r="A636" s="1"/>
      <c r="B636" s="1"/>
      <c r="C636" s="1"/>
      <c r="D636" s="1"/>
      <c r="E636" s="1"/>
      <c r="F636" s="1"/>
      <c r="G636" s="1"/>
      <c r="H636" s="1"/>
      <c r="I636" s="1"/>
      <c r="J636" s="1"/>
      <c r="K636" s="1"/>
      <c r="L636" s="1"/>
      <c r="M636" s="1"/>
      <c r="N636" s="1"/>
      <c r="O636" s="1"/>
      <c r="P636" s="1"/>
      <c r="Q636" s="1"/>
      <c r="R636" s="1"/>
      <c r="S636" s="1"/>
      <c r="T636" s="1"/>
      <c r="U636" s="1"/>
    </row>
    <row r="637" spans="1:21" x14ac:dyDescent="0.25">
      <c r="A637" s="1"/>
      <c r="B637" s="1"/>
      <c r="C637" s="1"/>
      <c r="D637" s="1"/>
      <c r="E637" s="1"/>
      <c r="F637" s="1"/>
      <c r="G637" s="1"/>
      <c r="H637" s="1"/>
      <c r="I637" s="1"/>
      <c r="J637" s="1"/>
      <c r="K637" s="1"/>
      <c r="L637" s="1"/>
      <c r="M637" s="1"/>
      <c r="N637" s="1"/>
      <c r="O637" s="1"/>
      <c r="P637" s="1"/>
      <c r="Q637" s="1"/>
      <c r="R637" s="1"/>
      <c r="S637" s="1"/>
      <c r="T637" s="1"/>
      <c r="U637" s="1"/>
    </row>
    <row r="638" spans="1:21" x14ac:dyDescent="0.25">
      <c r="A638" s="1"/>
      <c r="B638" s="1"/>
      <c r="C638" s="1"/>
      <c r="D638" s="1"/>
      <c r="E638" s="1"/>
      <c r="F638" s="1"/>
      <c r="G638" s="1"/>
      <c r="H638" s="1"/>
      <c r="I638" s="1"/>
      <c r="J638" s="1"/>
      <c r="K638" s="1"/>
      <c r="L638" s="1"/>
      <c r="M638" s="1"/>
      <c r="N638" s="1"/>
      <c r="O638" s="1"/>
      <c r="P638" s="1"/>
      <c r="Q638" s="1"/>
      <c r="R638" s="1"/>
      <c r="S638" s="1"/>
      <c r="T638" s="1"/>
      <c r="U638" s="1"/>
    </row>
    <row r="639" spans="1:21" x14ac:dyDescent="0.25">
      <c r="A639" s="1"/>
      <c r="B639" s="1"/>
      <c r="C639" s="1"/>
      <c r="D639" s="1"/>
      <c r="E639" s="1"/>
      <c r="F639" s="1"/>
      <c r="G639" s="1"/>
      <c r="H639" s="1"/>
      <c r="I639" s="1"/>
      <c r="J639" s="1"/>
      <c r="K639" s="1"/>
      <c r="L639" s="1"/>
      <c r="M639" s="1"/>
      <c r="N639" s="1"/>
      <c r="O639" s="1"/>
      <c r="P639" s="1"/>
      <c r="Q639" s="1"/>
      <c r="R639" s="1"/>
      <c r="S639" s="1"/>
      <c r="T639" s="1"/>
      <c r="U639" s="1"/>
    </row>
    <row r="640" spans="1:21" x14ac:dyDescent="0.25">
      <c r="A640" s="1"/>
      <c r="B640" s="1"/>
      <c r="C640" s="1"/>
      <c r="D640" s="1"/>
      <c r="E640" s="1"/>
      <c r="F640" s="1"/>
      <c r="G640" s="1"/>
      <c r="H640" s="1"/>
      <c r="I640" s="1"/>
      <c r="J640" s="1"/>
      <c r="K640" s="1"/>
      <c r="L640" s="1"/>
      <c r="M640" s="1"/>
      <c r="N640" s="1"/>
      <c r="O640" s="1"/>
      <c r="P640" s="1"/>
      <c r="Q640" s="1"/>
      <c r="R640" s="1"/>
      <c r="S640" s="1"/>
      <c r="T640" s="1"/>
      <c r="U640" s="1"/>
    </row>
    <row r="641" spans="1:21" x14ac:dyDescent="0.25">
      <c r="A641" s="1"/>
      <c r="B641" s="1"/>
      <c r="C641" s="1"/>
      <c r="D641" s="1"/>
      <c r="E641" s="1"/>
      <c r="F641" s="1"/>
      <c r="G641" s="1"/>
      <c r="H641" s="1"/>
      <c r="I641" s="1"/>
      <c r="J641" s="1"/>
      <c r="K641" s="1"/>
      <c r="L641" s="1"/>
      <c r="M641" s="1"/>
      <c r="N641" s="1"/>
      <c r="O641" s="1"/>
      <c r="P641" s="1"/>
      <c r="Q641" s="1"/>
      <c r="R641" s="1"/>
      <c r="S641" s="1"/>
      <c r="T641" s="1"/>
      <c r="U641" s="1"/>
    </row>
    <row r="642" spans="1:21" x14ac:dyDescent="0.25">
      <c r="A642" s="1"/>
      <c r="B642" s="1"/>
      <c r="C642" s="1"/>
      <c r="D642" s="1"/>
      <c r="E642" s="1"/>
      <c r="F642" s="1"/>
      <c r="G642" s="1"/>
      <c r="H642" s="1"/>
      <c r="I642" s="1"/>
      <c r="J642" s="1"/>
      <c r="K642" s="1"/>
      <c r="L642" s="1"/>
      <c r="M642" s="1"/>
      <c r="N642" s="1"/>
      <c r="O642" s="1"/>
      <c r="P642" s="1"/>
      <c r="Q642" s="1"/>
      <c r="R642" s="1"/>
      <c r="S642" s="1"/>
      <c r="T642" s="1"/>
      <c r="U642" s="1"/>
    </row>
    <row r="643" spans="1:21" x14ac:dyDescent="0.25">
      <c r="A643" s="1"/>
      <c r="B643" s="1"/>
      <c r="C643" s="1"/>
      <c r="D643" s="1"/>
      <c r="E643" s="1"/>
      <c r="F643" s="1"/>
      <c r="G643" s="1"/>
      <c r="H643" s="1"/>
      <c r="I643" s="1"/>
      <c r="J643" s="1"/>
      <c r="K643" s="1"/>
      <c r="L643" s="1"/>
      <c r="M643" s="1"/>
      <c r="N643" s="1"/>
      <c r="O643" s="1"/>
      <c r="P643" s="1"/>
      <c r="Q643" s="1"/>
      <c r="R643" s="1"/>
      <c r="S643" s="1"/>
      <c r="T643" s="1"/>
      <c r="U643" s="1"/>
    </row>
    <row r="644" spans="1:21" x14ac:dyDescent="0.25">
      <c r="A644" s="1"/>
      <c r="B644" s="1"/>
      <c r="C644" s="1"/>
      <c r="D644" s="1"/>
      <c r="E644" s="1"/>
      <c r="F644" s="1"/>
      <c r="G644" s="1"/>
      <c r="H644" s="1"/>
      <c r="I644" s="1"/>
      <c r="J644" s="1"/>
      <c r="K644" s="1"/>
      <c r="L644" s="1"/>
      <c r="M644" s="1"/>
      <c r="N644" s="1"/>
      <c r="O644" s="1"/>
      <c r="P644" s="1"/>
      <c r="Q644" s="1"/>
      <c r="R644" s="1"/>
      <c r="S644" s="1"/>
      <c r="T644" s="1"/>
      <c r="U644" s="1"/>
    </row>
    <row r="645" spans="1:21" x14ac:dyDescent="0.25">
      <c r="A645" s="1"/>
      <c r="B645" s="1"/>
      <c r="C645" s="1"/>
      <c r="D645" s="1"/>
      <c r="E645" s="1"/>
      <c r="F645" s="1"/>
      <c r="G645" s="1"/>
      <c r="H645" s="1"/>
      <c r="I645" s="1"/>
      <c r="J645" s="1"/>
      <c r="K645" s="1"/>
      <c r="L645" s="1"/>
      <c r="M645" s="1"/>
      <c r="N645" s="1"/>
      <c r="O645" s="1"/>
      <c r="P645" s="1"/>
      <c r="Q645" s="1"/>
      <c r="R645" s="1"/>
      <c r="S645" s="1"/>
      <c r="T645" s="1"/>
      <c r="U645" s="1"/>
    </row>
    <row r="646" spans="1:21" x14ac:dyDescent="0.25">
      <c r="A646" s="1"/>
      <c r="B646" s="1"/>
      <c r="C646" s="1"/>
      <c r="D646" s="1"/>
      <c r="E646" s="1"/>
      <c r="F646" s="1"/>
      <c r="G646" s="1"/>
      <c r="H646" s="1"/>
      <c r="I646" s="1"/>
      <c r="J646" s="1"/>
      <c r="K646" s="1"/>
      <c r="L646" s="1"/>
      <c r="M646" s="1"/>
      <c r="N646" s="1"/>
      <c r="O646" s="1"/>
      <c r="P646" s="1"/>
      <c r="Q646" s="1"/>
      <c r="R646" s="1"/>
      <c r="S646" s="1"/>
      <c r="T646" s="1"/>
      <c r="U646" s="1"/>
    </row>
    <row r="647" spans="1:21" x14ac:dyDescent="0.25">
      <c r="A647" s="1"/>
      <c r="B647" s="1"/>
      <c r="C647" s="1"/>
      <c r="D647" s="1"/>
      <c r="E647" s="1"/>
      <c r="F647" s="1"/>
      <c r="G647" s="1"/>
      <c r="H647" s="1"/>
      <c r="I647" s="1"/>
      <c r="J647" s="1"/>
      <c r="K647" s="1"/>
      <c r="L647" s="1"/>
      <c r="M647" s="1"/>
      <c r="N647" s="1"/>
      <c r="O647" s="1"/>
      <c r="P647" s="1"/>
      <c r="Q647" s="1"/>
      <c r="R647" s="1"/>
      <c r="S647" s="1"/>
      <c r="T647" s="1"/>
      <c r="U647" s="1"/>
    </row>
    <row r="648" spans="1:21" x14ac:dyDescent="0.25">
      <c r="A648" s="1"/>
      <c r="B648" s="1"/>
      <c r="C648" s="1"/>
      <c r="D648" s="1"/>
      <c r="E648" s="1"/>
      <c r="F648" s="1"/>
      <c r="G648" s="1"/>
      <c r="H648" s="1"/>
      <c r="I648" s="1"/>
      <c r="J648" s="1"/>
      <c r="K648" s="1"/>
      <c r="L648" s="1"/>
      <c r="M648" s="1"/>
      <c r="N648" s="1"/>
      <c r="O648" s="1"/>
      <c r="P648" s="1"/>
      <c r="Q648" s="1"/>
      <c r="R648" s="1"/>
      <c r="S648" s="1"/>
      <c r="T648" s="1"/>
      <c r="U648" s="1"/>
    </row>
    <row r="649" spans="1:21" x14ac:dyDescent="0.25">
      <c r="A649" s="1"/>
      <c r="B649" s="1"/>
      <c r="C649" s="1"/>
      <c r="D649" s="1"/>
      <c r="E649" s="1"/>
      <c r="F649" s="1"/>
      <c r="G649" s="1"/>
      <c r="H649" s="1"/>
      <c r="I649" s="1"/>
      <c r="J649" s="1"/>
      <c r="K649" s="1"/>
      <c r="L649" s="1"/>
      <c r="M649" s="1"/>
      <c r="N649" s="1"/>
      <c r="O649" s="1"/>
      <c r="P649" s="1"/>
      <c r="Q649" s="1"/>
      <c r="R649" s="1"/>
      <c r="S649" s="1"/>
      <c r="T649" s="1"/>
      <c r="U649" s="1"/>
    </row>
    <row r="650" spans="1:21" x14ac:dyDescent="0.25">
      <c r="A650" s="1"/>
      <c r="B650" s="1"/>
      <c r="C650" s="1"/>
      <c r="D650" s="1"/>
      <c r="E650" s="1"/>
      <c r="F650" s="1"/>
      <c r="G650" s="1"/>
      <c r="H650" s="1"/>
      <c r="I650" s="1"/>
      <c r="J650" s="1"/>
      <c r="K650" s="1"/>
      <c r="L650" s="1"/>
      <c r="M650" s="1"/>
      <c r="N650" s="1"/>
      <c r="O650" s="1"/>
      <c r="P650" s="1"/>
      <c r="Q650" s="1"/>
      <c r="R650" s="1"/>
      <c r="S650" s="1"/>
      <c r="T650" s="1"/>
      <c r="U650" s="1"/>
    </row>
    <row r="651" spans="1:21" x14ac:dyDescent="0.25">
      <c r="A651" s="1"/>
      <c r="B651" s="1"/>
      <c r="C651" s="1"/>
      <c r="D651" s="1"/>
      <c r="E651" s="1"/>
      <c r="F651" s="1"/>
      <c r="G651" s="1"/>
      <c r="H651" s="1"/>
      <c r="I651" s="1"/>
      <c r="J651" s="1"/>
      <c r="K651" s="1"/>
      <c r="L651" s="1"/>
      <c r="M651" s="1"/>
      <c r="N651" s="1"/>
      <c r="O651" s="1"/>
      <c r="P651" s="1"/>
      <c r="Q651" s="1"/>
      <c r="R651" s="1"/>
      <c r="S651" s="1"/>
      <c r="T651" s="1"/>
      <c r="U651" s="1"/>
    </row>
    <row r="652" spans="1:21" x14ac:dyDescent="0.25">
      <c r="A652" s="1"/>
      <c r="B652" s="1"/>
      <c r="C652" s="1"/>
      <c r="D652" s="1"/>
      <c r="E652" s="1"/>
      <c r="F652" s="1"/>
      <c r="G652" s="1"/>
      <c r="H652" s="1"/>
      <c r="I652" s="1"/>
      <c r="J652" s="1"/>
      <c r="K652" s="1"/>
      <c r="L652" s="1"/>
      <c r="M652" s="1"/>
      <c r="N652" s="1"/>
      <c r="O652" s="1"/>
      <c r="P652" s="1"/>
      <c r="Q652" s="1"/>
      <c r="R652" s="1"/>
      <c r="S652" s="1"/>
      <c r="T652" s="1"/>
      <c r="U652" s="1"/>
    </row>
    <row r="653" spans="1:21" x14ac:dyDescent="0.25">
      <c r="A653" s="1"/>
      <c r="B653" s="1"/>
      <c r="C653" s="1"/>
      <c r="D653" s="1"/>
      <c r="E653" s="1"/>
      <c r="F653" s="1"/>
      <c r="G653" s="1"/>
      <c r="H653" s="1"/>
      <c r="I653" s="1"/>
      <c r="J653" s="1"/>
      <c r="K653" s="1"/>
      <c r="L653" s="1"/>
      <c r="M653" s="1"/>
      <c r="N653" s="1"/>
      <c r="O653" s="1"/>
      <c r="P653" s="1"/>
      <c r="Q653" s="1"/>
      <c r="R653" s="1"/>
      <c r="S653" s="1"/>
      <c r="T653" s="1"/>
      <c r="U653" s="1"/>
    </row>
    <row r="654" spans="1:21" x14ac:dyDescent="0.25">
      <c r="A654" s="1"/>
      <c r="B654" s="1"/>
      <c r="C654" s="1"/>
      <c r="D654" s="1"/>
      <c r="E654" s="1"/>
      <c r="F654" s="1"/>
      <c r="G654" s="1"/>
      <c r="H654" s="1"/>
      <c r="I654" s="1"/>
      <c r="J654" s="1"/>
      <c r="K654" s="1"/>
      <c r="L654" s="1"/>
      <c r="M654" s="1"/>
      <c r="N654" s="1"/>
      <c r="O654" s="1"/>
      <c r="P654" s="1"/>
      <c r="Q654" s="1"/>
      <c r="R654" s="1"/>
      <c r="S654" s="1"/>
      <c r="T654" s="1"/>
      <c r="U654" s="1"/>
    </row>
    <row r="655" spans="1:21" x14ac:dyDescent="0.25">
      <c r="A655" s="1"/>
      <c r="B655" s="1"/>
      <c r="C655" s="1"/>
      <c r="D655" s="1"/>
      <c r="E655" s="1"/>
      <c r="F655" s="1"/>
      <c r="G655" s="1"/>
      <c r="H655" s="1"/>
      <c r="I655" s="1"/>
      <c r="J655" s="1"/>
      <c r="K655" s="1"/>
      <c r="L655" s="1"/>
      <c r="M655" s="1"/>
      <c r="N655" s="1"/>
      <c r="O655" s="1"/>
      <c r="P655" s="1"/>
      <c r="Q655" s="1"/>
      <c r="R655" s="1"/>
      <c r="S655" s="1"/>
      <c r="T655" s="1"/>
      <c r="U655" s="1"/>
    </row>
    <row r="656" spans="1:21" x14ac:dyDescent="0.25">
      <c r="A656" s="1"/>
      <c r="B656" s="1"/>
      <c r="C656" s="1"/>
      <c r="D656" s="1"/>
      <c r="E656" s="1"/>
      <c r="F656" s="1"/>
      <c r="G656" s="1"/>
      <c r="H656" s="1"/>
      <c r="I656" s="1"/>
      <c r="J656" s="1"/>
      <c r="K656" s="1"/>
      <c r="L656" s="1"/>
      <c r="M656" s="1"/>
      <c r="N656" s="1"/>
      <c r="O656" s="1"/>
      <c r="P656" s="1"/>
      <c r="Q656" s="1"/>
      <c r="R656" s="1"/>
      <c r="S656" s="1"/>
      <c r="T656" s="1"/>
      <c r="U656" s="1"/>
    </row>
    <row r="657" spans="1:21" x14ac:dyDescent="0.25">
      <c r="A657" s="1"/>
      <c r="B657" s="1"/>
      <c r="C657" s="1"/>
      <c r="D657" s="1"/>
      <c r="E657" s="1"/>
      <c r="F657" s="1"/>
      <c r="G657" s="1"/>
      <c r="H657" s="1"/>
      <c r="I657" s="1"/>
      <c r="J657" s="1"/>
      <c r="K657" s="1"/>
      <c r="L657" s="1"/>
      <c r="M657" s="1"/>
      <c r="N657" s="1"/>
      <c r="O657" s="1"/>
      <c r="P657" s="1"/>
      <c r="Q657" s="1"/>
      <c r="R657" s="1"/>
      <c r="S657" s="1"/>
      <c r="T657" s="1"/>
      <c r="U657" s="1"/>
    </row>
    <row r="658" spans="1:21" x14ac:dyDescent="0.25">
      <c r="A658" s="1"/>
      <c r="B658" s="1"/>
      <c r="C658" s="1"/>
      <c r="D658" s="1"/>
      <c r="E658" s="1"/>
      <c r="F658" s="1"/>
      <c r="G658" s="1"/>
      <c r="H658" s="1"/>
      <c r="I658" s="1"/>
      <c r="J658" s="1"/>
      <c r="K658" s="1"/>
      <c r="L658" s="1"/>
      <c r="M658" s="1"/>
      <c r="N658" s="1"/>
      <c r="O658" s="1"/>
      <c r="P658" s="1"/>
      <c r="Q658" s="1"/>
      <c r="R658" s="1"/>
      <c r="S658" s="1"/>
      <c r="T658" s="1"/>
      <c r="U658" s="1"/>
    </row>
    <row r="659" spans="1:21" x14ac:dyDescent="0.25">
      <c r="A659" s="1"/>
      <c r="B659" s="1"/>
      <c r="C659" s="1"/>
      <c r="D659" s="1"/>
      <c r="E659" s="1"/>
      <c r="F659" s="1"/>
      <c r="G659" s="1"/>
      <c r="H659" s="1"/>
      <c r="I659" s="1"/>
      <c r="J659" s="1"/>
      <c r="K659" s="1"/>
      <c r="L659" s="1"/>
      <c r="M659" s="1"/>
      <c r="N659" s="1"/>
      <c r="O659" s="1"/>
      <c r="P659" s="1"/>
      <c r="Q659" s="1"/>
      <c r="R659" s="1"/>
      <c r="S659" s="1"/>
      <c r="T659" s="1"/>
      <c r="U659" s="1"/>
    </row>
    <row r="660" spans="1:21" x14ac:dyDescent="0.25">
      <c r="A660" s="1"/>
      <c r="B660" s="1"/>
      <c r="C660" s="1"/>
      <c r="D660" s="1"/>
      <c r="E660" s="1"/>
      <c r="F660" s="1"/>
      <c r="G660" s="1"/>
      <c r="H660" s="1"/>
      <c r="I660" s="1"/>
      <c r="J660" s="1"/>
      <c r="K660" s="1"/>
      <c r="L660" s="1"/>
      <c r="M660" s="1"/>
      <c r="N660" s="1"/>
      <c r="O660" s="1"/>
      <c r="P660" s="1"/>
      <c r="Q660" s="1"/>
      <c r="R660" s="1"/>
      <c r="S660" s="1"/>
      <c r="T660" s="1"/>
      <c r="U660" s="1"/>
    </row>
    <row r="661" spans="1:21" x14ac:dyDescent="0.25">
      <c r="A661" s="1"/>
      <c r="B661" s="1"/>
      <c r="C661" s="1"/>
      <c r="D661" s="1"/>
      <c r="E661" s="1"/>
      <c r="F661" s="1"/>
      <c r="G661" s="1"/>
      <c r="H661" s="1"/>
      <c r="I661" s="1"/>
      <c r="J661" s="1"/>
      <c r="K661" s="1"/>
      <c r="L661" s="1"/>
      <c r="M661" s="1"/>
      <c r="N661" s="1"/>
      <c r="O661" s="1"/>
      <c r="P661" s="1"/>
      <c r="Q661" s="1"/>
      <c r="R661" s="1"/>
      <c r="S661" s="1"/>
      <c r="T661" s="1"/>
      <c r="U661" s="1"/>
    </row>
    <row r="662" spans="1:21" x14ac:dyDescent="0.25">
      <c r="A662" s="1"/>
      <c r="B662" s="1"/>
      <c r="C662" s="1"/>
      <c r="D662" s="1"/>
      <c r="E662" s="1"/>
      <c r="F662" s="1"/>
      <c r="G662" s="1"/>
      <c r="H662" s="1"/>
      <c r="I662" s="1"/>
      <c r="J662" s="1"/>
      <c r="K662" s="1"/>
      <c r="L662" s="1"/>
      <c r="M662" s="1"/>
      <c r="N662" s="1"/>
      <c r="O662" s="1"/>
      <c r="P662" s="1"/>
      <c r="Q662" s="1"/>
      <c r="R662" s="1"/>
      <c r="S662" s="1"/>
      <c r="T662" s="1"/>
      <c r="U662" s="1"/>
    </row>
    <row r="663" spans="1:21" x14ac:dyDescent="0.25">
      <c r="A663" s="1"/>
      <c r="B663" s="1"/>
      <c r="C663" s="1"/>
      <c r="D663" s="1"/>
      <c r="E663" s="1"/>
      <c r="F663" s="1"/>
      <c r="G663" s="1"/>
      <c r="H663" s="1"/>
      <c r="I663" s="1"/>
      <c r="J663" s="1"/>
      <c r="K663" s="1"/>
      <c r="L663" s="1"/>
      <c r="M663" s="1"/>
      <c r="N663" s="1"/>
      <c r="O663" s="1"/>
      <c r="P663" s="1"/>
      <c r="Q663" s="1"/>
      <c r="R663" s="1"/>
      <c r="S663" s="1"/>
      <c r="T663" s="1"/>
      <c r="U663" s="1"/>
    </row>
    <row r="664" spans="1:21" x14ac:dyDescent="0.25">
      <c r="A664" s="1"/>
      <c r="B664" s="1"/>
      <c r="C664" s="1"/>
      <c r="D664" s="1"/>
      <c r="E664" s="1"/>
      <c r="F664" s="1"/>
      <c r="G664" s="1"/>
      <c r="H664" s="1"/>
      <c r="I664" s="1"/>
      <c r="J664" s="1"/>
      <c r="K664" s="1"/>
      <c r="L664" s="1"/>
      <c r="M664" s="1"/>
      <c r="N664" s="1"/>
      <c r="O664" s="1"/>
      <c r="P664" s="1"/>
      <c r="Q664" s="1"/>
      <c r="R664" s="1"/>
      <c r="S664" s="1"/>
      <c r="T664" s="1"/>
      <c r="U664" s="1"/>
    </row>
    <row r="665" spans="1:21" x14ac:dyDescent="0.25">
      <c r="A665" s="1"/>
      <c r="B665" s="1"/>
      <c r="C665" s="1"/>
      <c r="D665" s="1"/>
      <c r="E665" s="1"/>
      <c r="F665" s="1"/>
      <c r="G665" s="1"/>
      <c r="H665" s="1"/>
      <c r="I665" s="1"/>
      <c r="J665" s="1"/>
      <c r="K665" s="1"/>
      <c r="L665" s="1"/>
      <c r="M665" s="1"/>
      <c r="N665" s="1"/>
      <c r="O665" s="1"/>
      <c r="P665" s="1"/>
      <c r="Q665" s="1"/>
      <c r="R665" s="1"/>
      <c r="S665" s="1"/>
      <c r="T665" s="1"/>
      <c r="U665" s="1"/>
    </row>
    <row r="666" spans="1:21" x14ac:dyDescent="0.25">
      <c r="A666" s="1"/>
      <c r="B666" s="1"/>
      <c r="C666" s="1"/>
      <c r="D666" s="1"/>
      <c r="E666" s="1"/>
      <c r="F666" s="1"/>
      <c r="G666" s="1"/>
      <c r="H666" s="1"/>
      <c r="I666" s="1"/>
      <c r="J666" s="1"/>
      <c r="K666" s="1"/>
      <c r="L666" s="1"/>
      <c r="M666" s="1"/>
      <c r="N666" s="1"/>
      <c r="O666" s="1"/>
      <c r="P666" s="1"/>
      <c r="Q666" s="1"/>
      <c r="R666" s="1"/>
      <c r="S666" s="1"/>
      <c r="T666" s="1"/>
      <c r="U666" s="1"/>
    </row>
    <row r="667" spans="1:21" x14ac:dyDescent="0.25">
      <c r="A667" s="1"/>
      <c r="B667" s="1"/>
      <c r="C667" s="1"/>
      <c r="D667" s="1"/>
      <c r="E667" s="1"/>
      <c r="F667" s="1"/>
      <c r="G667" s="1"/>
      <c r="H667" s="1"/>
      <c r="I667" s="1"/>
      <c r="J667" s="1"/>
      <c r="K667" s="1"/>
      <c r="L667" s="1"/>
      <c r="M667" s="1"/>
      <c r="N667" s="1"/>
      <c r="O667" s="1"/>
      <c r="P667" s="1"/>
      <c r="Q667" s="1"/>
      <c r="R667" s="1"/>
      <c r="S667" s="1"/>
      <c r="T667" s="1"/>
      <c r="U667" s="1"/>
    </row>
    <row r="668" spans="1:21" x14ac:dyDescent="0.25">
      <c r="A668" s="1"/>
      <c r="B668" s="1"/>
      <c r="C668" s="1"/>
      <c r="D668" s="1"/>
      <c r="E668" s="1"/>
      <c r="F668" s="1"/>
      <c r="G668" s="1"/>
      <c r="H668" s="1"/>
      <c r="I668" s="1"/>
      <c r="J668" s="1"/>
      <c r="K668" s="1"/>
      <c r="L668" s="1"/>
      <c r="M668" s="1"/>
      <c r="N668" s="1"/>
      <c r="O668" s="1"/>
      <c r="P668" s="1"/>
      <c r="Q668" s="1"/>
      <c r="R668" s="1"/>
      <c r="S668" s="1"/>
      <c r="T668" s="1"/>
      <c r="U668" s="1"/>
    </row>
    <row r="669" spans="1:21" x14ac:dyDescent="0.25">
      <c r="A669" s="1"/>
      <c r="B669" s="1"/>
      <c r="C669" s="1"/>
      <c r="D669" s="1"/>
      <c r="E669" s="1"/>
      <c r="F669" s="1"/>
      <c r="G669" s="1"/>
      <c r="H669" s="1"/>
      <c r="I669" s="1"/>
      <c r="J669" s="1"/>
      <c r="K669" s="1"/>
      <c r="L669" s="1"/>
      <c r="M669" s="1"/>
      <c r="N669" s="1"/>
      <c r="O669" s="1"/>
      <c r="P669" s="1"/>
      <c r="Q669" s="1"/>
      <c r="R669" s="1"/>
      <c r="S669" s="1"/>
      <c r="T669" s="1"/>
      <c r="U669" s="1"/>
    </row>
    <row r="670" spans="1:21" x14ac:dyDescent="0.25">
      <c r="A670" s="1"/>
      <c r="B670" s="1"/>
      <c r="C670" s="1"/>
      <c r="D670" s="1"/>
      <c r="E670" s="1"/>
      <c r="F670" s="1"/>
      <c r="G670" s="1"/>
      <c r="H670" s="1"/>
      <c r="I670" s="1"/>
      <c r="J670" s="1"/>
      <c r="K670" s="1"/>
      <c r="L670" s="1"/>
      <c r="M670" s="1"/>
      <c r="N670" s="1"/>
      <c r="O670" s="1"/>
      <c r="P670" s="1"/>
      <c r="Q670" s="1"/>
      <c r="R670" s="1"/>
      <c r="S670" s="1"/>
      <c r="T670" s="1"/>
      <c r="U670" s="1"/>
    </row>
    <row r="671" spans="1:21" x14ac:dyDescent="0.25">
      <c r="A671" s="1"/>
      <c r="B671" s="1"/>
      <c r="C671" s="1"/>
      <c r="D671" s="1"/>
      <c r="E671" s="1"/>
      <c r="F671" s="1"/>
      <c r="G671" s="1"/>
      <c r="H671" s="1"/>
      <c r="I671" s="1"/>
      <c r="J671" s="1"/>
      <c r="K671" s="1"/>
      <c r="L671" s="1"/>
      <c r="M671" s="1"/>
      <c r="N671" s="1"/>
      <c r="O671" s="1"/>
      <c r="P671" s="1"/>
      <c r="Q671" s="1"/>
      <c r="R671" s="1"/>
      <c r="S671" s="1"/>
      <c r="T671" s="1"/>
      <c r="U671" s="1"/>
    </row>
    <row r="672" spans="1:21" x14ac:dyDescent="0.25">
      <c r="A672" s="1"/>
      <c r="B672" s="1"/>
      <c r="C672" s="1"/>
      <c r="D672" s="1"/>
      <c r="E672" s="1"/>
      <c r="F672" s="1"/>
      <c r="G672" s="1"/>
      <c r="H672" s="1"/>
      <c r="I672" s="1"/>
      <c r="J672" s="1"/>
      <c r="K672" s="1"/>
      <c r="L672" s="1"/>
      <c r="M672" s="1"/>
      <c r="N672" s="1"/>
      <c r="O672" s="1"/>
      <c r="P672" s="1"/>
      <c r="Q672" s="1"/>
      <c r="R672" s="1"/>
      <c r="S672" s="1"/>
      <c r="T672" s="1"/>
      <c r="U672" s="1"/>
    </row>
    <row r="673" spans="1:21" x14ac:dyDescent="0.25">
      <c r="A673" s="1"/>
      <c r="B673" s="1"/>
      <c r="C673" s="1"/>
      <c r="D673" s="1"/>
      <c r="E673" s="1"/>
      <c r="F673" s="1"/>
      <c r="G673" s="1"/>
      <c r="H673" s="1"/>
      <c r="I673" s="1"/>
      <c r="J673" s="1"/>
      <c r="K673" s="1"/>
      <c r="L673" s="1"/>
      <c r="M673" s="1"/>
      <c r="N673" s="1"/>
      <c r="O673" s="1"/>
      <c r="P673" s="1"/>
      <c r="Q673" s="1"/>
      <c r="R673" s="1"/>
      <c r="S673" s="1"/>
      <c r="T673" s="1"/>
      <c r="U673" s="1"/>
    </row>
    <row r="674" spans="1:21" x14ac:dyDescent="0.25">
      <c r="A674" s="1"/>
      <c r="B674" s="1"/>
      <c r="C674" s="1"/>
      <c r="D674" s="1"/>
      <c r="E674" s="1"/>
      <c r="F674" s="1"/>
      <c r="G674" s="1"/>
      <c r="H674" s="1"/>
      <c r="I674" s="1"/>
      <c r="J674" s="1"/>
      <c r="K674" s="1"/>
      <c r="L674" s="1"/>
      <c r="M674" s="1"/>
      <c r="N674" s="1"/>
      <c r="O674" s="1"/>
      <c r="P674" s="1"/>
      <c r="Q674" s="1"/>
      <c r="R674" s="1"/>
      <c r="S674" s="1"/>
      <c r="T674" s="1"/>
      <c r="U674" s="1"/>
    </row>
    <row r="675" spans="1:21" x14ac:dyDescent="0.25">
      <c r="A675" s="1"/>
      <c r="B675" s="1"/>
      <c r="C675" s="1"/>
      <c r="D675" s="1"/>
      <c r="E675" s="1"/>
      <c r="F675" s="1"/>
      <c r="G675" s="1"/>
      <c r="H675" s="1"/>
      <c r="I675" s="1"/>
      <c r="J675" s="1"/>
      <c r="K675" s="1"/>
      <c r="L675" s="1"/>
      <c r="M675" s="1"/>
      <c r="N675" s="1"/>
      <c r="O675" s="1"/>
      <c r="P675" s="1"/>
      <c r="Q675" s="1"/>
      <c r="R675" s="1"/>
      <c r="S675" s="1"/>
      <c r="T675" s="1"/>
      <c r="U675" s="1"/>
    </row>
    <row r="676" spans="1:21" x14ac:dyDescent="0.25">
      <c r="A676" s="1"/>
      <c r="B676" s="1"/>
      <c r="C676" s="1"/>
      <c r="D676" s="1"/>
      <c r="E676" s="1"/>
      <c r="F676" s="1"/>
      <c r="G676" s="1"/>
      <c r="H676" s="1"/>
      <c r="I676" s="1"/>
      <c r="J676" s="1"/>
      <c r="K676" s="1"/>
      <c r="L676" s="1"/>
      <c r="M676" s="1"/>
      <c r="N676" s="1"/>
      <c r="O676" s="1"/>
      <c r="P676" s="1"/>
      <c r="Q676" s="1"/>
      <c r="R676" s="1"/>
      <c r="S676" s="1"/>
      <c r="T676" s="1"/>
      <c r="U676" s="1"/>
    </row>
    <row r="677" spans="1:21" x14ac:dyDescent="0.25">
      <c r="A677" s="1"/>
      <c r="B677" s="1"/>
      <c r="C677" s="1"/>
      <c r="D677" s="1"/>
      <c r="E677" s="1"/>
      <c r="F677" s="1"/>
      <c r="G677" s="1"/>
      <c r="H677" s="1"/>
      <c r="I677" s="1"/>
      <c r="J677" s="1"/>
      <c r="K677" s="1"/>
      <c r="L677" s="1"/>
      <c r="M677" s="1"/>
      <c r="N677" s="1"/>
      <c r="O677" s="1"/>
      <c r="P677" s="1"/>
      <c r="Q677" s="1"/>
      <c r="R677" s="1"/>
      <c r="S677" s="1"/>
      <c r="T677" s="1"/>
      <c r="U677" s="1"/>
    </row>
    <row r="678" spans="1:21" x14ac:dyDescent="0.25">
      <c r="A678" s="1"/>
      <c r="B678" s="1"/>
      <c r="C678" s="1"/>
      <c r="D678" s="1"/>
      <c r="E678" s="1"/>
      <c r="F678" s="1"/>
      <c r="G678" s="1"/>
      <c r="H678" s="1"/>
      <c r="I678" s="1"/>
      <c r="J678" s="1"/>
      <c r="K678" s="1"/>
      <c r="L678" s="1"/>
      <c r="M678" s="1"/>
      <c r="N678" s="1"/>
      <c r="O678" s="1"/>
      <c r="P678" s="1"/>
      <c r="Q678" s="1"/>
      <c r="R678" s="1"/>
      <c r="S678" s="1"/>
      <c r="T678" s="1"/>
      <c r="U678" s="1"/>
    </row>
    <row r="679" spans="1:21" x14ac:dyDescent="0.25">
      <c r="A679" s="1"/>
      <c r="B679" s="1"/>
      <c r="C679" s="1"/>
      <c r="D679" s="1"/>
      <c r="E679" s="1"/>
      <c r="F679" s="1"/>
      <c r="G679" s="1"/>
      <c r="H679" s="1"/>
      <c r="I679" s="1"/>
      <c r="J679" s="1"/>
      <c r="K679" s="1"/>
      <c r="L679" s="1"/>
      <c r="M679" s="1"/>
      <c r="N679" s="1"/>
      <c r="O679" s="1"/>
      <c r="P679" s="1"/>
      <c r="Q679" s="1"/>
      <c r="R679" s="1"/>
      <c r="S679" s="1"/>
      <c r="T679" s="1"/>
      <c r="U679" s="1"/>
    </row>
    <row r="680" spans="1:21" x14ac:dyDescent="0.25">
      <c r="A680" s="1"/>
      <c r="B680" s="1"/>
      <c r="C680" s="1"/>
      <c r="D680" s="1"/>
      <c r="E680" s="1"/>
      <c r="F680" s="1"/>
      <c r="G680" s="1"/>
      <c r="H680" s="1"/>
      <c r="I680" s="1"/>
      <c r="J680" s="1"/>
      <c r="K680" s="1"/>
      <c r="L680" s="1"/>
      <c r="M680" s="1"/>
      <c r="N680" s="1"/>
      <c r="O680" s="1"/>
      <c r="P680" s="1"/>
      <c r="Q680" s="1"/>
      <c r="R680" s="1"/>
      <c r="S680" s="1"/>
      <c r="T680" s="1"/>
      <c r="U680" s="1"/>
    </row>
    <row r="681" spans="1:21" x14ac:dyDescent="0.25">
      <c r="A681" s="1"/>
      <c r="B681" s="1"/>
      <c r="C681" s="1"/>
      <c r="D681" s="1"/>
      <c r="E681" s="1"/>
      <c r="F681" s="1"/>
      <c r="G681" s="1"/>
      <c r="H681" s="1"/>
      <c r="I681" s="1"/>
      <c r="J681" s="1"/>
      <c r="K681" s="1"/>
      <c r="L681" s="1"/>
      <c r="M681" s="1"/>
      <c r="N681" s="1"/>
      <c r="O681" s="1"/>
      <c r="P681" s="1"/>
      <c r="Q681" s="1"/>
      <c r="R681" s="1"/>
      <c r="S681" s="1"/>
      <c r="T681" s="1"/>
      <c r="U681" s="1"/>
    </row>
    <row r="682" spans="1:21" x14ac:dyDescent="0.25">
      <c r="A682" s="1"/>
      <c r="B682" s="1"/>
      <c r="C682" s="1"/>
      <c r="D682" s="1"/>
      <c r="E682" s="1"/>
      <c r="F682" s="1"/>
      <c r="G682" s="1"/>
      <c r="H682" s="1"/>
      <c r="I682" s="1"/>
      <c r="J682" s="1"/>
      <c r="K682" s="1"/>
      <c r="L682" s="1"/>
      <c r="M682" s="1"/>
      <c r="N682" s="1"/>
      <c r="O682" s="1"/>
      <c r="P682" s="1"/>
      <c r="Q682" s="1"/>
      <c r="R682" s="1"/>
      <c r="S682" s="1"/>
      <c r="T682" s="1"/>
      <c r="U682" s="1"/>
    </row>
    <row r="683" spans="1:21" x14ac:dyDescent="0.25">
      <c r="A683" s="1"/>
      <c r="B683" s="1"/>
      <c r="C683" s="1"/>
      <c r="D683" s="1"/>
      <c r="E683" s="1"/>
      <c r="F683" s="1"/>
      <c r="G683" s="1"/>
      <c r="H683" s="1"/>
      <c r="I683" s="1"/>
      <c r="J683" s="1"/>
      <c r="K683" s="1"/>
      <c r="L683" s="1"/>
      <c r="M683" s="1"/>
      <c r="N683" s="1"/>
      <c r="O683" s="1"/>
      <c r="P683" s="1"/>
      <c r="Q683" s="1"/>
      <c r="R683" s="1"/>
      <c r="S683" s="1"/>
      <c r="T683" s="1"/>
      <c r="U683" s="1"/>
    </row>
    <row r="684" spans="1:21" x14ac:dyDescent="0.25">
      <c r="A684" s="1"/>
      <c r="B684" s="1"/>
      <c r="C684" s="1"/>
      <c r="D684" s="1"/>
      <c r="E684" s="1"/>
      <c r="F684" s="1"/>
      <c r="G684" s="1"/>
      <c r="H684" s="1"/>
      <c r="I684" s="1"/>
      <c r="J684" s="1"/>
      <c r="K684" s="1"/>
      <c r="L684" s="1"/>
      <c r="M684" s="1"/>
      <c r="N684" s="1"/>
      <c r="O684" s="1"/>
      <c r="P684" s="1"/>
      <c r="Q684" s="1"/>
      <c r="R684" s="1"/>
      <c r="S684" s="1"/>
      <c r="T684" s="1"/>
      <c r="U684" s="1"/>
    </row>
    <row r="685" spans="1:21" x14ac:dyDescent="0.25">
      <c r="A685" s="1"/>
      <c r="B685" s="1"/>
      <c r="C685" s="1"/>
      <c r="D685" s="1"/>
      <c r="E685" s="1"/>
      <c r="F685" s="1"/>
      <c r="G685" s="1"/>
      <c r="H685" s="1"/>
      <c r="I685" s="1"/>
      <c r="J685" s="1"/>
      <c r="K685" s="1"/>
      <c r="L685" s="1"/>
      <c r="M685" s="1"/>
      <c r="N685" s="1"/>
      <c r="O685" s="1"/>
      <c r="P685" s="1"/>
      <c r="Q685" s="1"/>
      <c r="R685" s="1"/>
      <c r="S685" s="1"/>
      <c r="T685" s="1"/>
      <c r="U685" s="1"/>
    </row>
    <row r="686" spans="1:21" x14ac:dyDescent="0.25">
      <c r="A686" s="1"/>
      <c r="B686" s="1"/>
      <c r="C686" s="1"/>
      <c r="D686" s="1"/>
      <c r="E686" s="1"/>
      <c r="F686" s="1"/>
      <c r="G686" s="1"/>
      <c r="H686" s="1"/>
      <c r="I686" s="1"/>
      <c r="J686" s="1"/>
      <c r="K686" s="1"/>
      <c r="L686" s="1"/>
      <c r="M686" s="1"/>
      <c r="N686" s="1"/>
      <c r="O686" s="1"/>
      <c r="P686" s="1"/>
      <c r="Q686" s="1"/>
      <c r="R686" s="1"/>
      <c r="S686" s="1"/>
      <c r="T686" s="1"/>
      <c r="U686" s="1"/>
    </row>
    <row r="687" spans="1:21" x14ac:dyDescent="0.25">
      <c r="A687" s="1"/>
      <c r="B687" s="1"/>
      <c r="C687" s="1"/>
      <c r="D687" s="1"/>
      <c r="E687" s="1"/>
      <c r="F687" s="1"/>
      <c r="G687" s="1"/>
      <c r="H687" s="1"/>
      <c r="I687" s="1"/>
      <c r="J687" s="1"/>
      <c r="K687" s="1"/>
      <c r="L687" s="1"/>
      <c r="M687" s="1"/>
      <c r="N687" s="1"/>
      <c r="O687" s="1"/>
      <c r="P687" s="1"/>
      <c r="Q687" s="1"/>
      <c r="R687" s="1"/>
      <c r="S687" s="1"/>
      <c r="T687" s="1"/>
      <c r="U687" s="1"/>
    </row>
    <row r="688" spans="1:21" x14ac:dyDescent="0.25">
      <c r="A688" s="1"/>
      <c r="B688" s="1"/>
      <c r="C688" s="1"/>
      <c r="D688" s="1"/>
      <c r="E688" s="1"/>
      <c r="F688" s="1"/>
      <c r="G688" s="1"/>
      <c r="H688" s="1"/>
      <c r="I688" s="1"/>
      <c r="J688" s="1"/>
      <c r="K688" s="1"/>
      <c r="L688" s="1"/>
      <c r="M688" s="1"/>
      <c r="N688" s="1"/>
      <c r="O688" s="1"/>
      <c r="P688" s="1"/>
      <c r="Q688" s="1"/>
      <c r="R688" s="1"/>
      <c r="S688" s="1"/>
      <c r="T688" s="1"/>
      <c r="U688" s="1"/>
    </row>
    <row r="689" spans="1:21" x14ac:dyDescent="0.25">
      <c r="A689" s="1"/>
      <c r="B689" s="1"/>
      <c r="C689" s="1"/>
      <c r="D689" s="1"/>
      <c r="E689" s="1"/>
      <c r="F689" s="1"/>
      <c r="G689" s="1"/>
      <c r="H689" s="1"/>
      <c r="I689" s="1"/>
      <c r="J689" s="1"/>
      <c r="K689" s="1"/>
      <c r="L689" s="1"/>
      <c r="M689" s="1"/>
      <c r="N689" s="1"/>
      <c r="O689" s="1"/>
      <c r="P689" s="1"/>
      <c r="Q689" s="1"/>
      <c r="R689" s="1"/>
      <c r="S689" s="1"/>
      <c r="T689" s="1"/>
      <c r="U689" s="1"/>
    </row>
    <row r="690" spans="1:21" x14ac:dyDescent="0.25">
      <c r="A690" s="1"/>
      <c r="B690" s="1"/>
      <c r="C690" s="1"/>
      <c r="D690" s="1"/>
      <c r="E690" s="1"/>
      <c r="F690" s="1"/>
      <c r="G690" s="1"/>
      <c r="H690" s="1"/>
      <c r="I690" s="1"/>
      <c r="J690" s="1"/>
      <c r="K690" s="1"/>
      <c r="L690" s="1"/>
      <c r="M690" s="1"/>
      <c r="N690" s="1"/>
      <c r="O690" s="1"/>
      <c r="P690" s="1"/>
      <c r="Q690" s="1"/>
      <c r="R690" s="1"/>
      <c r="S690" s="1"/>
      <c r="T690" s="1"/>
      <c r="U690" s="1"/>
    </row>
    <row r="691" spans="1:21" x14ac:dyDescent="0.25">
      <c r="A691" s="1"/>
      <c r="B691" s="1"/>
      <c r="C691" s="1"/>
      <c r="D691" s="1"/>
      <c r="E691" s="1"/>
      <c r="F691" s="1"/>
      <c r="G691" s="1"/>
      <c r="H691" s="1"/>
      <c r="I691" s="1"/>
      <c r="J691" s="1"/>
      <c r="K691" s="1"/>
      <c r="L691" s="1"/>
      <c r="M691" s="1"/>
      <c r="N691" s="1"/>
      <c r="O691" s="1"/>
      <c r="P691" s="1"/>
      <c r="Q691" s="1"/>
      <c r="R691" s="1"/>
      <c r="S691" s="1"/>
      <c r="T691" s="1"/>
      <c r="U691" s="1"/>
    </row>
    <row r="692" spans="1:21" x14ac:dyDescent="0.25">
      <c r="A692" s="1"/>
      <c r="B692" s="1"/>
      <c r="C692" s="1"/>
      <c r="D692" s="1"/>
      <c r="E692" s="1"/>
      <c r="F692" s="1"/>
      <c r="G692" s="1"/>
      <c r="H692" s="1"/>
      <c r="I692" s="1"/>
      <c r="J692" s="1"/>
      <c r="K692" s="1"/>
      <c r="L692" s="1"/>
      <c r="M692" s="1"/>
      <c r="N692" s="1"/>
      <c r="O692" s="1"/>
      <c r="P692" s="1"/>
      <c r="Q692" s="1"/>
      <c r="R692" s="1"/>
      <c r="S692" s="1"/>
      <c r="T692" s="1"/>
      <c r="U692" s="1"/>
    </row>
    <row r="693" spans="1:21" x14ac:dyDescent="0.25">
      <c r="A693" s="1"/>
      <c r="B693" s="1"/>
      <c r="C693" s="1"/>
      <c r="D693" s="1"/>
      <c r="E693" s="1"/>
      <c r="F693" s="1"/>
      <c r="G693" s="1"/>
      <c r="H693" s="1"/>
      <c r="I693" s="1"/>
      <c r="J693" s="1"/>
      <c r="K693" s="1"/>
      <c r="L693" s="1"/>
      <c r="M693" s="1"/>
      <c r="N693" s="1"/>
      <c r="O693" s="1"/>
      <c r="P693" s="1"/>
      <c r="Q693" s="1"/>
      <c r="R693" s="1"/>
      <c r="S693" s="1"/>
      <c r="T693" s="1"/>
      <c r="U693" s="1"/>
    </row>
    <row r="694" spans="1:21" x14ac:dyDescent="0.25">
      <c r="A694" s="1"/>
      <c r="B694" s="1"/>
      <c r="C694" s="1"/>
      <c r="D694" s="1"/>
      <c r="E694" s="1"/>
      <c r="F694" s="1"/>
      <c r="G694" s="1"/>
      <c r="H694" s="1"/>
      <c r="I694" s="1"/>
      <c r="J694" s="1"/>
      <c r="K694" s="1"/>
      <c r="L694" s="1"/>
      <c r="M694" s="1"/>
      <c r="N694" s="1"/>
      <c r="O694" s="1"/>
      <c r="P694" s="1"/>
      <c r="Q694" s="1"/>
      <c r="R694" s="1"/>
      <c r="S694" s="1"/>
      <c r="T694" s="1"/>
      <c r="U694" s="1"/>
    </row>
    <row r="695" spans="1:21" x14ac:dyDescent="0.25">
      <c r="A695" s="1"/>
      <c r="B695" s="1"/>
      <c r="C695" s="1"/>
      <c r="D695" s="1"/>
      <c r="E695" s="1"/>
      <c r="F695" s="1"/>
      <c r="G695" s="1"/>
      <c r="H695" s="1"/>
      <c r="I695" s="1"/>
      <c r="J695" s="1"/>
      <c r="K695" s="1"/>
      <c r="L695" s="1"/>
      <c r="M695" s="1"/>
      <c r="N695" s="1"/>
      <c r="O695" s="1"/>
      <c r="P695" s="1"/>
      <c r="Q695" s="1"/>
      <c r="R695" s="1"/>
      <c r="S695" s="1"/>
      <c r="T695" s="1"/>
      <c r="U695" s="1"/>
    </row>
    <row r="696" spans="1:21" x14ac:dyDescent="0.25">
      <c r="A696" s="1"/>
      <c r="B696" s="1"/>
      <c r="C696" s="1"/>
      <c r="D696" s="1"/>
      <c r="E696" s="1"/>
      <c r="F696" s="1"/>
      <c r="G696" s="1"/>
      <c r="H696" s="1"/>
      <c r="I696" s="1"/>
      <c r="J696" s="1"/>
      <c r="K696" s="1"/>
      <c r="L696" s="1"/>
      <c r="M696" s="1"/>
      <c r="N696" s="1"/>
      <c r="O696" s="1"/>
      <c r="P696" s="1"/>
      <c r="Q696" s="1"/>
      <c r="R696" s="1"/>
      <c r="S696" s="1"/>
      <c r="T696" s="1"/>
      <c r="U696" s="1"/>
    </row>
    <row r="697" spans="1:21" x14ac:dyDescent="0.25">
      <c r="A697" s="1"/>
      <c r="B697" s="1"/>
      <c r="C697" s="1"/>
      <c r="D697" s="1"/>
      <c r="E697" s="1"/>
      <c r="F697" s="1"/>
      <c r="G697" s="1"/>
      <c r="H697" s="1"/>
      <c r="I697" s="1"/>
      <c r="J697" s="1"/>
      <c r="K697" s="1"/>
      <c r="L697" s="1"/>
      <c r="M697" s="1"/>
      <c r="N697" s="1"/>
      <c r="O697" s="1"/>
      <c r="P697" s="1"/>
      <c r="Q697" s="1"/>
      <c r="R697" s="1"/>
      <c r="S697" s="1"/>
      <c r="T697" s="1"/>
      <c r="U697" s="1"/>
    </row>
    <row r="698" spans="1:21" x14ac:dyDescent="0.25">
      <c r="A698" s="1"/>
      <c r="B698" s="1"/>
      <c r="C698" s="1"/>
      <c r="D698" s="1"/>
      <c r="E698" s="1"/>
      <c r="F698" s="1"/>
      <c r="G698" s="1"/>
      <c r="H698" s="1"/>
      <c r="I698" s="1"/>
      <c r="J698" s="1"/>
      <c r="K698" s="1"/>
      <c r="L698" s="1"/>
      <c r="M698" s="1"/>
      <c r="N698" s="1"/>
      <c r="O698" s="1"/>
      <c r="P698" s="1"/>
      <c r="Q698" s="1"/>
      <c r="R698" s="1"/>
      <c r="S698" s="1"/>
      <c r="T698" s="1"/>
      <c r="U698" s="1"/>
    </row>
    <row r="699" spans="1:21" x14ac:dyDescent="0.25">
      <c r="A699" s="1"/>
      <c r="B699" s="1"/>
      <c r="C699" s="1"/>
      <c r="D699" s="1"/>
      <c r="E699" s="1"/>
      <c r="F699" s="1"/>
      <c r="G699" s="1"/>
      <c r="H699" s="1"/>
      <c r="I699" s="1"/>
      <c r="J699" s="1"/>
      <c r="K699" s="1"/>
      <c r="L699" s="1"/>
      <c r="M699" s="1"/>
      <c r="N699" s="1"/>
      <c r="O699" s="1"/>
      <c r="P699" s="1"/>
      <c r="Q699" s="1"/>
      <c r="R699" s="1"/>
      <c r="S699" s="1"/>
      <c r="T699" s="1"/>
      <c r="U699" s="1"/>
    </row>
    <row r="700" spans="1:21" x14ac:dyDescent="0.25">
      <c r="A700" s="1"/>
      <c r="B700" s="1"/>
      <c r="C700" s="1"/>
      <c r="D700" s="1"/>
      <c r="E700" s="1"/>
      <c r="F700" s="1"/>
      <c r="G700" s="1"/>
      <c r="H700" s="1"/>
      <c r="I700" s="1"/>
      <c r="J700" s="1"/>
      <c r="K700" s="1"/>
      <c r="L700" s="1"/>
      <c r="M700" s="1"/>
      <c r="N700" s="1"/>
      <c r="O700" s="1"/>
      <c r="P700" s="1"/>
      <c r="Q700" s="1"/>
      <c r="R700" s="1"/>
      <c r="S700" s="1"/>
      <c r="T700" s="1"/>
      <c r="U700" s="1"/>
    </row>
    <row r="701" spans="1:21" x14ac:dyDescent="0.25">
      <c r="A701" s="1"/>
      <c r="B701" s="1"/>
      <c r="C701" s="1"/>
      <c r="D701" s="1"/>
      <c r="E701" s="1"/>
      <c r="F701" s="1"/>
      <c r="G701" s="1"/>
      <c r="H701" s="1"/>
      <c r="I701" s="1"/>
      <c r="J701" s="1"/>
      <c r="K701" s="1"/>
      <c r="L701" s="1"/>
      <c r="M701" s="1"/>
      <c r="N701" s="1"/>
      <c r="O701" s="1"/>
      <c r="P701" s="1"/>
      <c r="Q701" s="1"/>
      <c r="R701" s="1"/>
      <c r="S701" s="1"/>
      <c r="T701" s="1"/>
      <c r="U701" s="1"/>
    </row>
    <row r="702" spans="1:21" x14ac:dyDescent="0.25">
      <c r="A702" s="1"/>
      <c r="B702" s="1"/>
      <c r="C702" s="1"/>
      <c r="D702" s="1"/>
      <c r="E702" s="1"/>
      <c r="F702" s="1"/>
      <c r="G702" s="1"/>
      <c r="H702" s="1"/>
      <c r="I702" s="1"/>
      <c r="J702" s="1"/>
      <c r="K702" s="1"/>
      <c r="L702" s="1"/>
      <c r="M702" s="1"/>
      <c r="N702" s="1"/>
      <c r="O702" s="1"/>
      <c r="P702" s="1"/>
      <c r="Q702" s="1"/>
      <c r="R702" s="1"/>
      <c r="S702" s="1"/>
      <c r="T702" s="1"/>
      <c r="U702" s="1"/>
    </row>
    <row r="703" spans="1:21" x14ac:dyDescent="0.25">
      <c r="A703" s="1"/>
      <c r="B703" s="1"/>
      <c r="C703" s="1"/>
      <c r="D703" s="1"/>
      <c r="E703" s="1"/>
      <c r="F703" s="1"/>
      <c r="G703" s="1"/>
      <c r="H703" s="1"/>
      <c r="I703" s="1"/>
      <c r="J703" s="1"/>
      <c r="K703" s="1"/>
      <c r="L703" s="1"/>
      <c r="M703" s="1"/>
      <c r="N703" s="1"/>
      <c r="O703" s="1"/>
      <c r="P703" s="1"/>
      <c r="Q703" s="1"/>
      <c r="R703" s="1"/>
      <c r="S703" s="1"/>
      <c r="T703" s="1"/>
      <c r="U703" s="1"/>
    </row>
    <row r="704" spans="1:21" x14ac:dyDescent="0.25">
      <c r="A704" s="1"/>
      <c r="B704" s="1"/>
      <c r="C704" s="1"/>
      <c r="D704" s="1"/>
      <c r="E704" s="1"/>
      <c r="F704" s="1"/>
      <c r="G704" s="1"/>
      <c r="H704" s="1"/>
      <c r="I704" s="1"/>
      <c r="J704" s="1"/>
      <c r="K704" s="1"/>
      <c r="L704" s="1"/>
      <c r="M704" s="1"/>
      <c r="N704" s="1"/>
      <c r="O704" s="1"/>
      <c r="P704" s="1"/>
      <c r="Q704" s="1"/>
      <c r="R704" s="1"/>
      <c r="S704" s="1"/>
      <c r="T704" s="1"/>
      <c r="U704" s="1"/>
    </row>
    <row r="705" spans="1:21" x14ac:dyDescent="0.25">
      <c r="A705" s="1"/>
      <c r="B705" s="1"/>
      <c r="C705" s="1"/>
      <c r="D705" s="1"/>
      <c r="E705" s="1"/>
      <c r="F705" s="1"/>
      <c r="G705" s="1"/>
      <c r="H705" s="1"/>
      <c r="I705" s="1"/>
      <c r="J705" s="1"/>
      <c r="K705" s="1"/>
      <c r="L705" s="1"/>
      <c r="M705" s="1"/>
      <c r="N705" s="1"/>
      <c r="O705" s="1"/>
      <c r="P705" s="1"/>
      <c r="Q705" s="1"/>
      <c r="R705" s="1"/>
      <c r="S705" s="1"/>
      <c r="T705" s="1"/>
      <c r="U705" s="1"/>
    </row>
    <row r="706" spans="1:21" x14ac:dyDescent="0.25">
      <c r="A706" s="1"/>
      <c r="B706" s="1"/>
      <c r="C706" s="1"/>
      <c r="D706" s="1"/>
      <c r="E706" s="1"/>
      <c r="F706" s="1"/>
      <c r="G706" s="1"/>
      <c r="H706" s="1"/>
      <c r="I706" s="1"/>
      <c r="J706" s="1"/>
      <c r="K706" s="1"/>
      <c r="L706" s="1"/>
      <c r="M706" s="1"/>
      <c r="N706" s="1"/>
      <c r="O706" s="1"/>
      <c r="P706" s="1"/>
      <c r="Q706" s="1"/>
      <c r="R706" s="1"/>
      <c r="S706" s="1"/>
      <c r="T706" s="1"/>
      <c r="U706" s="1"/>
    </row>
    <row r="707" spans="1:21" x14ac:dyDescent="0.25">
      <c r="A707" s="1"/>
      <c r="B707" s="1"/>
      <c r="C707" s="1"/>
      <c r="D707" s="1"/>
      <c r="E707" s="1"/>
      <c r="F707" s="1"/>
      <c r="G707" s="1"/>
      <c r="H707" s="1"/>
      <c r="I707" s="1"/>
      <c r="J707" s="1"/>
      <c r="K707" s="1"/>
      <c r="L707" s="1"/>
      <c r="M707" s="1"/>
      <c r="N707" s="1"/>
      <c r="O707" s="1"/>
      <c r="P707" s="1"/>
      <c r="Q707" s="1"/>
      <c r="R707" s="1"/>
      <c r="S707" s="1"/>
      <c r="T707" s="1"/>
      <c r="U707" s="1"/>
    </row>
    <row r="708" spans="1:21" x14ac:dyDescent="0.25">
      <c r="A708" s="1"/>
      <c r="B708" s="1"/>
      <c r="C708" s="1"/>
      <c r="D708" s="1"/>
      <c r="E708" s="1"/>
      <c r="F708" s="1"/>
      <c r="G708" s="1"/>
      <c r="H708" s="1"/>
      <c r="I708" s="1"/>
      <c r="J708" s="1"/>
      <c r="K708" s="1"/>
      <c r="L708" s="1"/>
      <c r="M708" s="1"/>
      <c r="N708" s="1"/>
      <c r="O708" s="1"/>
      <c r="P708" s="1"/>
      <c r="Q708" s="1"/>
      <c r="R708" s="1"/>
      <c r="S708" s="1"/>
      <c r="T708" s="1"/>
      <c r="U708" s="1"/>
    </row>
    <row r="709" spans="1:21" x14ac:dyDescent="0.25">
      <c r="A709" s="1"/>
      <c r="B709" s="1"/>
      <c r="C709" s="1"/>
      <c r="D709" s="1"/>
      <c r="E709" s="1"/>
      <c r="F709" s="1"/>
      <c r="G709" s="1"/>
      <c r="H709" s="1"/>
      <c r="I709" s="1"/>
      <c r="J709" s="1"/>
      <c r="K709" s="1"/>
      <c r="L709" s="1"/>
      <c r="M709" s="1"/>
      <c r="N709" s="1"/>
      <c r="O709" s="1"/>
      <c r="P709" s="1"/>
      <c r="Q709" s="1"/>
      <c r="R709" s="1"/>
      <c r="S709" s="1"/>
      <c r="T709" s="1"/>
      <c r="U709" s="1"/>
    </row>
    <row r="710" spans="1:21" x14ac:dyDescent="0.25">
      <c r="A710" s="1"/>
      <c r="B710" s="1"/>
      <c r="C710" s="1"/>
      <c r="D710" s="1"/>
      <c r="E710" s="1"/>
      <c r="F710" s="1"/>
      <c r="G710" s="1"/>
      <c r="H710" s="1"/>
      <c r="I710" s="1"/>
      <c r="J710" s="1"/>
      <c r="K710" s="1"/>
      <c r="L710" s="1"/>
      <c r="M710" s="1"/>
      <c r="N710" s="1"/>
      <c r="O710" s="1"/>
      <c r="P710" s="1"/>
      <c r="Q710" s="1"/>
      <c r="R710" s="1"/>
      <c r="S710" s="1"/>
      <c r="T710" s="1"/>
      <c r="U710" s="1"/>
    </row>
    <row r="711" spans="1:21" x14ac:dyDescent="0.25">
      <c r="A711" s="1"/>
      <c r="B711" s="1"/>
      <c r="C711" s="1"/>
      <c r="D711" s="1"/>
      <c r="E711" s="1"/>
      <c r="F711" s="1"/>
      <c r="G711" s="1"/>
      <c r="H711" s="1"/>
      <c r="I711" s="1"/>
      <c r="J711" s="1"/>
      <c r="K711" s="1"/>
      <c r="L711" s="1"/>
      <c r="M711" s="1"/>
      <c r="N711" s="1"/>
      <c r="O711" s="1"/>
      <c r="P711" s="1"/>
      <c r="Q711" s="1"/>
      <c r="R711" s="1"/>
      <c r="S711" s="1"/>
      <c r="T711" s="1"/>
      <c r="U711" s="1"/>
    </row>
    <row r="712" spans="1:21" x14ac:dyDescent="0.25">
      <c r="A712" s="1"/>
      <c r="B712" s="1"/>
      <c r="C712" s="1"/>
      <c r="D712" s="1"/>
      <c r="E712" s="1"/>
      <c r="F712" s="1"/>
      <c r="G712" s="1"/>
      <c r="H712" s="1"/>
      <c r="I712" s="1"/>
      <c r="J712" s="1"/>
      <c r="K712" s="1"/>
      <c r="L712" s="1"/>
      <c r="M712" s="1"/>
      <c r="N712" s="1"/>
      <c r="O712" s="1"/>
      <c r="P712" s="1"/>
      <c r="Q712" s="1"/>
      <c r="R712" s="1"/>
      <c r="S712" s="1"/>
      <c r="T712" s="1"/>
      <c r="U712" s="1"/>
    </row>
    <row r="713" spans="1:21" x14ac:dyDescent="0.25">
      <c r="A713" s="1"/>
      <c r="B713" s="1"/>
      <c r="C713" s="1"/>
      <c r="D713" s="1"/>
      <c r="E713" s="1"/>
      <c r="F713" s="1"/>
      <c r="G713" s="1"/>
      <c r="H713" s="1"/>
      <c r="I713" s="1"/>
      <c r="J713" s="1"/>
      <c r="K713" s="1"/>
      <c r="L713" s="1"/>
      <c r="M713" s="1"/>
      <c r="N713" s="1"/>
      <c r="O713" s="1"/>
      <c r="P713" s="1"/>
      <c r="Q713" s="1"/>
      <c r="R713" s="1"/>
      <c r="S713" s="1"/>
      <c r="T713" s="1"/>
      <c r="U713" s="1"/>
    </row>
    <row r="714" spans="1:21" x14ac:dyDescent="0.25">
      <c r="A714" s="1"/>
      <c r="B714" s="1"/>
      <c r="C714" s="1"/>
      <c r="D714" s="1"/>
      <c r="E714" s="1"/>
      <c r="F714" s="1"/>
      <c r="G714" s="1"/>
      <c r="H714" s="1"/>
      <c r="I714" s="1"/>
      <c r="J714" s="1"/>
      <c r="K714" s="1"/>
      <c r="L714" s="1"/>
      <c r="M714" s="1"/>
      <c r="N714" s="1"/>
      <c r="O714" s="1"/>
      <c r="P714" s="1"/>
      <c r="Q714" s="1"/>
      <c r="R714" s="1"/>
      <c r="S714" s="1"/>
      <c r="T714" s="1"/>
      <c r="U714" s="1"/>
    </row>
    <row r="715" spans="1:21" x14ac:dyDescent="0.25">
      <c r="A715" s="1"/>
      <c r="B715" s="1"/>
      <c r="C715" s="1"/>
      <c r="D715" s="1"/>
      <c r="E715" s="1"/>
      <c r="F715" s="1"/>
      <c r="G715" s="1"/>
      <c r="H715" s="1"/>
      <c r="I715" s="1"/>
      <c r="J715" s="1"/>
      <c r="K715" s="1"/>
      <c r="L715" s="1"/>
      <c r="M715" s="1"/>
      <c r="N715" s="1"/>
      <c r="O715" s="1"/>
      <c r="P715" s="1"/>
      <c r="Q715" s="1"/>
      <c r="R715" s="1"/>
      <c r="S715" s="1"/>
      <c r="T715" s="1"/>
      <c r="U715" s="1"/>
    </row>
    <row r="716" spans="1:21" x14ac:dyDescent="0.25">
      <c r="A716" s="1"/>
      <c r="B716" s="1"/>
      <c r="C716" s="1"/>
      <c r="D716" s="1"/>
      <c r="E716" s="1"/>
      <c r="F716" s="1"/>
      <c r="G716" s="1"/>
      <c r="H716" s="1"/>
      <c r="I716" s="1"/>
      <c r="J716" s="1"/>
      <c r="K716" s="1"/>
      <c r="L716" s="1"/>
      <c r="M716" s="1"/>
      <c r="N716" s="1"/>
      <c r="O716" s="1"/>
      <c r="P716" s="1"/>
      <c r="Q716" s="1"/>
      <c r="R716" s="1"/>
      <c r="S716" s="1"/>
      <c r="T716" s="1"/>
      <c r="U716" s="1"/>
    </row>
    <row r="717" spans="1:21" x14ac:dyDescent="0.25">
      <c r="A717" s="1"/>
      <c r="B717" s="1"/>
      <c r="C717" s="1"/>
      <c r="D717" s="1"/>
      <c r="E717" s="1"/>
      <c r="F717" s="1"/>
      <c r="G717" s="1"/>
      <c r="H717" s="1"/>
      <c r="I717" s="1"/>
      <c r="J717" s="1"/>
      <c r="K717" s="1"/>
      <c r="L717" s="1"/>
      <c r="M717" s="1"/>
      <c r="N717" s="1"/>
      <c r="O717" s="1"/>
      <c r="P717" s="1"/>
      <c r="Q717" s="1"/>
      <c r="R717" s="1"/>
      <c r="S717" s="1"/>
      <c r="T717" s="1"/>
      <c r="U717" s="1"/>
    </row>
    <row r="718" spans="1:21" x14ac:dyDescent="0.25">
      <c r="A718" s="1"/>
      <c r="B718" s="1"/>
      <c r="C718" s="1"/>
      <c r="D718" s="1"/>
      <c r="E718" s="1"/>
      <c r="F718" s="1"/>
      <c r="G718" s="1"/>
      <c r="H718" s="1"/>
      <c r="I718" s="1"/>
      <c r="J718" s="1"/>
      <c r="K718" s="1"/>
      <c r="L718" s="1"/>
      <c r="M718" s="1"/>
      <c r="N718" s="1"/>
      <c r="O718" s="1"/>
      <c r="P718" s="1"/>
      <c r="Q718" s="1"/>
      <c r="R718" s="1"/>
      <c r="S718" s="1"/>
      <c r="T718" s="1"/>
      <c r="U718" s="1"/>
    </row>
    <row r="719" spans="1:21" x14ac:dyDescent="0.25">
      <c r="A719" s="1"/>
      <c r="B719" s="1"/>
      <c r="C719" s="1"/>
      <c r="D719" s="1"/>
      <c r="E719" s="1"/>
      <c r="F719" s="1"/>
      <c r="G719" s="1"/>
      <c r="H719" s="1"/>
      <c r="I719" s="1"/>
      <c r="J719" s="1"/>
      <c r="K719" s="1"/>
      <c r="L719" s="1"/>
      <c r="M719" s="1"/>
      <c r="N719" s="1"/>
      <c r="O719" s="1"/>
      <c r="P719" s="1"/>
      <c r="Q719" s="1"/>
      <c r="R719" s="1"/>
      <c r="S719" s="1"/>
      <c r="T719" s="1"/>
      <c r="U719" s="1"/>
    </row>
    <row r="720" spans="1:21" x14ac:dyDescent="0.25">
      <c r="A720" s="1"/>
      <c r="B720" s="1"/>
      <c r="C720" s="1"/>
      <c r="D720" s="1"/>
      <c r="E720" s="1"/>
      <c r="F720" s="1"/>
      <c r="G720" s="1"/>
      <c r="H720" s="1"/>
      <c r="I720" s="1"/>
      <c r="J720" s="1"/>
      <c r="K720" s="1"/>
      <c r="L720" s="1"/>
      <c r="M720" s="1"/>
      <c r="N720" s="1"/>
      <c r="O720" s="1"/>
      <c r="P720" s="1"/>
      <c r="Q720" s="1"/>
      <c r="R720" s="1"/>
      <c r="S720" s="1"/>
      <c r="T720" s="1"/>
      <c r="U720" s="1"/>
    </row>
    <row r="721" spans="1:21" x14ac:dyDescent="0.25">
      <c r="A721" s="1"/>
      <c r="B721" s="1"/>
      <c r="C721" s="1"/>
      <c r="D721" s="1"/>
      <c r="E721" s="1"/>
      <c r="F721" s="1"/>
      <c r="G721" s="1"/>
      <c r="H721" s="1"/>
      <c r="I721" s="1"/>
      <c r="J721" s="1"/>
      <c r="K721" s="1"/>
      <c r="L721" s="1"/>
      <c r="M721" s="1"/>
      <c r="N721" s="1"/>
      <c r="O721" s="1"/>
      <c r="P721" s="1"/>
      <c r="Q721" s="1"/>
      <c r="R721" s="1"/>
      <c r="S721" s="1"/>
      <c r="T721" s="1"/>
      <c r="U721" s="1"/>
    </row>
    <row r="722" spans="1:21" x14ac:dyDescent="0.25">
      <c r="A722" s="1"/>
      <c r="B722" s="1"/>
      <c r="C722" s="1"/>
      <c r="D722" s="1"/>
      <c r="E722" s="1"/>
      <c r="F722" s="1"/>
      <c r="G722" s="1"/>
      <c r="H722" s="1"/>
      <c r="I722" s="1"/>
      <c r="J722" s="1"/>
      <c r="K722" s="1"/>
      <c r="L722" s="1"/>
      <c r="M722" s="1"/>
      <c r="N722" s="1"/>
      <c r="O722" s="1"/>
      <c r="P722" s="1"/>
      <c r="Q722" s="1"/>
      <c r="R722" s="1"/>
      <c r="S722" s="1"/>
      <c r="T722" s="1"/>
      <c r="U722" s="1"/>
    </row>
    <row r="723" spans="1:21" x14ac:dyDescent="0.25">
      <c r="A723" s="1"/>
      <c r="B723" s="1"/>
      <c r="C723" s="1"/>
      <c r="D723" s="1"/>
      <c r="E723" s="1"/>
      <c r="F723" s="1"/>
      <c r="G723" s="1"/>
      <c r="H723" s="1"/>
      <c r="I723" s="1"/>
      <c r="J723" s="1"/>
      <c r="K723" s="1"/>
      <c r="L723" s="1"/>
      <c r="M723" s="1"/>
      <c r="N723" s="1"/>
      <c r="O723" s="1"/>
      <c r="P723" s="1"/>
      <c r="Q723" s="1"/>
      <c r="R723" s="1"/>
      <c r="S723" s="1"/>
      <c r="T723" s="1"/>
      <c r="U723" s="1"/>
    </row>
    <row r="724" spans="1:21" x14ac:dyDescent="0.25">
      <c r="A724" s="1"/>
      <c r="B724" s="1"/>
      <c r="C724" s="1"/>
      <c r="D724" s="1"/>
      <c r="E724" s="1"/>
      <c r="F724" s="1"/>
      <c r="G724" s="1"/>
      <c r="H724" s="1"/>
      <c r="I724" s="1"/>
      <c r="J724" s="1"/>
      <c r="K724" s="1"/>
      <c r="L724" s="1"/>
      <c r="M724" s="1"/>
      <c r="N724" s="1"/>
      <c r="O724" s="1"/>
      <c r="P724" s="1"/>
      <c r="Q724" s="1"/>
      <c r="R724" s="1"/>
      <c r="S724" s="1"/>
      <c r="T724" s="1"/>
      <c r="U724" s="1"/>
    </row>
    <row r="725" spans="1:21" x14ac:dyDescent="0.25">
      <c r="A725" s="1"/>
      <c r="B725" s="1"/>
      <c r="C725" s="1"/>
      <c r="D725" s="1"/>
      <c r="E725" s="1"/>
      <c r="F725" s="1"/>
      <c r="G725" s="1"/>
      <c r="H725" s="1"/>
      <c r="I725" s="1"/>
      <c r="J725" s="1"/>
      <c r="K725" s="1"/>
      <c r="L725" s="1"/>
      <c r="M725" s="1"/>
      <c r="N725" s="1"/>
      <c r="O725" s="1"/>
      <c r="P725" s="1"/>
      <c r="Q725" s="1"/>
      <c r="R725" s="1"/>
      <c r="S725" s="1"/>
      <c r="T725" s="1"/>
      <c r="U725" s="1"/>
    </row>
    <row r="726" spans="1:21" x14ac:dyDescent="0.25">
      <c r="A726" s="1"/>
      <c r="B726" s="1"/>
      <c r="C726" s="1"/>
      <c r="D726" s="1"/>
      <c r="E726" s="1"/>
      <c r="F726" s="1"/>
      <c r="G726" s="1"/>
      <c r="H726" s="1"/>
      <c r="I726" s="1"/>
      <c r="J726" s="1"/>
      <c r="K726" s="1"/>
      <c r="L726" s="1"/>
      <c r="M726" s="1"/>
      <c r="N726" s="1"/>
      <c r="O726" s="1"/>
      <c r="P726" s="1"/>
      <c r="Q726" s="1"/>
      <c r="R726" s="1"/>
      <c r="S726" s="1"/>
      <c r="T726" s="1"/>
      <c r="U726" s="1"/>
    </row>
    <row r="727" spans="1:21" x14ac:dyDescent="0.25">
      <c r="A727" s="1"/>
      <c r="B727" s="1"/>
      <c r="C727" s="1"/>
      <c r="D727" s="1"/>
      <c r="E727" s="1"/>
      <c r="F727" s="1"/>
      <c r="G727" s="1"/>
      <c r="H727" s="1"/>
      <c r="I727" s="1"/>
      <c r="J727" s="1"/>
      <c r="K727" s="1"/>
      <c r="L727" s="1"/>
      <c r="M727" s="1"/>
      <c r="N727" s="1"/>
      <c r="O727" s="1"/>
      <c r="P727" s="1"/>
      <c r="Q727" s="1"/>
      <c r="R727" s="1"/>
      <c r="S727" s="1"/>
      <c r="T727" s="1"/>
      <c r="U727" s="1"/>
    </row>
    <row r="728" spans="1:21" x14ac:dyDescent="0.25">
      <c r="A728" s="1"/>
      <c r="B728" s="1"/>
      <c r="C728" s="1"/>
      <c r="D728" s="1"/>
      <c r="E728" s="1"/>
      <c r="F728" s="1"/>
      <c r="G728" s="1"/>
      <c r="H728" s="1"/>
      <c r="I728" s="1"/>
      <c r="J728" s="1"/>
      <c r="K728" s="1"/>
      <c r="L728" s="1"/>
      <c r="M728" s="1"/>
      <c r="N728" s="1"/>
      <c r="O728" s="1"/>
      <c r="P728" s="1"/>
      <c r="Q728" s="1"/>
      <c r="R728" s="1"/>
      <c r="S728" s="1"/>
      <c r="T728" s="1"/>
      <c r="U728" s="1"/>
    </row>
    <row r="729" spans="1:21" x14ac:dyDescent="0.25">
      <c r="A729" s="1"/>
      <c r="B729" s="1"/>
      <c r="C729" s="1"/>
      <c r="D729" s="1"/>
      <c r="E729" s="1"/>
      <c r="F729" s="1"/>
      <c r="G729" s="1"/>
      <c r="H729" s="1"/>
      <c r="I729" s="1"/>
      <c r="J729" s="1"/>
      <c r="K729" s="1"/>
      <c r="L729" s="1"/>
      <c r="M729" s="1"/>
      <c r="N729" s="1"/>
      <c r="O729" s="1"/>
      <c r="P729" s="1"/>
      <c r="Q729" s="1"/>
      <c r="R729" s="1"/>
      <c r="S729" s="1"/>
      <c r="T729" s="1"/>
      <c r="U729" s="1"/>
    </row>
    <row r="730" spans="1:21" x14ac:dyDescent="0.25">
      <c r="A730" s="1"/>
      <c r="B730" s="1"/>
      <c r="C730" s="1"/>
      <c r="D730" s="1"/>
      <c r="E730" s="1"/>
      <c r="F730" s="1"/>
      <c r="G730" s="1"/>
      <c r="H730" s="1"/>
      <c r="I730" s="1"/>
      <c r="J730" s="1"/>
      <c r="K730" s="1"/>
      <c r="L730" s="1"/>
      <c r="M730" s="1"/>
      <c r="N730" s="1"/>
      <c r="O730" s="1"/>
      <c r="P730" s="1"/>
      <c r="Q730" s="1"/>
      <c r="R730" s="1"/>
      <c r="S730" s="1"/>
      <c r="T730" s="1"/>
      <c r="U730" s="1"/>
    </row>
    <row r="731" spans="1:21" x14ac:dyDescent="0.25">
      <c r="A731" s="1"/>
      <c r="B731" s="1"/>
      <c r="C731" s="1"/>
      <c r="D731" s="1"/>
      <c r="E731" s="1"/>
      <c r="F731" s="1"/>
      <c r="G731" s="1"/>
      <c r="H731" s="1"/>
      <c r="I731" s="1"/>
      <c r="J731" s="1"/>
      <c r="K731" s="1"/>
      <c r="L731" s="1"/>
      <c r="M731" s="1"/>
      <c r="N731" s="1"/>
      <c r="O731" s="1"/>
      <c r="P731" s="1"/>
      <c r="Q731" s="1"/>
      <c r="R731" s="1"/>
      <c r="S731" s="1"/>
      <c r="T731" s="1"/>
      <c r="U731" s="1"/>
    </row>
    <row r="732" spans="1:21" x14ac:dyDescent="0.25">
      <c r="A732" s="1"/>
      <c r="B732" s="1"/>
      <c r="C732" s="1"/>
      <c r="D732" s="1"/>
      <c r="E732" s="1"/>
      <c r="F732" s="1"/>
      <c r="G732" s="1"/>
      <c r="H732" s="1"/>
      <c r="I732" s="1"/>
      <c r="J732" s="1"/>
      <c r="K732" s="1"/>
      <c r="L732" s="1"/>
      <c r="M732" s="1"/>
      <c r="N732" s="1"/>
      <c r="O732" s="1"/>
      <c r="P732" s="1"/>
      <c r="Q732" s="1"/>
      <c r="R732" s="1"/>
      <c r="S732" s="1"/>
      <c r="T732" s="1"/>
      <c r="U732" s="1"/>
    </row>
    <row r="733" spans="1:21" x14ac:dyDescent="0.25">
      <c r="A733" s="1"/>
      <c r="B733" s="1"/>
      <c r="C733" s="1"/>
      <c r="D733" s="1"/>
      <c r="E733" s="1"/>
      <c r="F733" s="1"/>
      <c r="G733" s="1"/>
      <c r="H733" s="1"/>
      <c r="I733" s="1"/>
      <c r="J733" s="1"/>
      <c r="K733" s="1"/>
      <c r="L733" s="1"/>
      <c r="M733" s="1"/>
      <c r="N733" s="1"/>
      <c r="O733" s="1"/>
      <c r="P733" s="1"/>
      <c r="Q733" s="1"/>
      <c r="R733" s="1"/>
      <c r="S733" s="1"/>
      <c r="T733" s="1"/>
      <c r="U733" s="1"/>
    </row>
    <row r="734" spans="1:21" x14ac:dyDescent="0.25">
      <c r="A734" s="1"/>
      <c r="B734" s="1"/>
      <c r="C734" s="1"/>
      <c r="D734" s="1"/>
      <c r="E734" s="1"/>
      <c r="F734" s="1"/>
      <c r="G734" s="1"/>
      <c r="H734" s="1"/>
      <c r="I734" s="1"/>
      <c r="J734" s="1"/>
      <c r="K734" s="1"/>
      <c r="L734" s="1"/>
      <c r="M734" s="1"/>
      <c r="N734" s="1"/>
      <c r="O734" s="1"/>
      <c r="P734" s="1"/>
      <c r="Q734" s="1"/>
      <c r="R734" s="1"/>
      <c r="S734" s="1"/>
      <c r="T734" s="1"/>
      <c r="U734" s="1"/>
    </row>
    <row r="735" spans="1:21" x14ac:dyDescent="0.25">
      <c r="A735" s="1"/>
      <c r="B735" s="1"/>
      <c r="C735" s="1"/>
      <c r="D735" s="1"/>
      <c r="E735" s="1"/>
      <c r="F735" s="1"/>
      <c r="G735" s="1"/>
      <c r="H735" s="1"/>
      <c r="I735" s="1"/>
      <c r="J735" s="1"/>
      <c r="K735" s="1"/>
      <c r="L735" s="1"/>
      <c r="M735" s="1"/>
      <c r="N735" s="1"/>
      <c r="O735" s="1"/>
      <c r="P735" s="1"/>
      <c r="Q735" s="1"/>
      <c r="R735" s="1"/>
      <c r="S735" s="1"/>
      <c r="T735" s="1"/>
      <c r="U735" s="1"/>
    </row>
    <row r="736" spans="1:21" x14ac:dyDescent="0.25">
      <c r="A736" s="1"/>
      <c r="B736" s="1"/>
      <c r="C736" s="1"/>
      <c r="D736" s="1"/>
      <c r="E736" s="1"/>
      <c r="F736" s="1"/>
      <c r="G736" s="1"/>
      <c r="H736" s="1"/>
      <c r="I736" s="1"/>
      <c r="J736" s="1"/>
      <c r="K736" s="1"/>
      <c r="L736" s="1"/>
      <c r="M736" s="1"/>
      <c r="N736" s="1"/>
      <c r="O736" s="1"/>
      <c r="P736" s="1"/>
      <c r="Q736" s="1"/>
      <c r="R736" s="1"/>
      <c r="S736" s="1"/>
      <c r="T736" s="1"/>
      <c r="U736" s="1"/>
    </row>
    <row r="737" spans="1:21" x14ac:dyDescent="0.25">
      <c r="A737" s="1"/>
      <c r="B737" s="1"/>
      <c r="C737" s="1"/>
      <c r="D737" s="1"/>
      <c r="E737" s="1"/>
      <c r="F737" s="1"/>
      <c r="G737" s="1"/>
      <c r="H737" s="1"/>
      <c r="I737" s="1"/>
      <c r="J737" s="1"/>
      <c r="K737" s="1"/>
      <c r="L737" s="1"/>
      <c r="M737" s="1"/>
      <c r="N737" s="1"/>
      <c r="O737" s="1"/>
      <c r="P737" s="1"/>
      <c r="Q737" s="1"/>
      <c r="R737" s="1"/>
      <c r="S737" s="1"/>
      <c r="T737" s="1"/>
      <c r="U737" s="1"/>
    </row>
    <row r="738" spans="1:21" x14ac:dyDescent="0.25">
      <c r="A738" s="1"/>
      <c r="B738" s="1"/>
      <c r="C738" s="1"/>
      <c r="D738" s="1"/>
      <c r="E738" s="1"/>
      <c r="F738" s="1"/>
      <c r="G738" s="1"/>
      <c r="H738" s="1"/>
      <c r="I738" s="1"/>
      <c r="J738" s="1"/>
      <c r="K738" s="1"/>
      <c r="L738" s="1"/>
      <c r="M738" s="1"/>
      <c r="N738" s="1"/>
      <c r="O738" s="1"/>
      <c r="P738" s="1"/>
      <c r="Q738" s="1"/>
      <c r="R738" s="1"/>
      <c r="S738" s="1"/>
      <c r="T738" s="1"/>
      <c r="U738" s="1"/>
    </row>
    <row r="739" spans="1:21" x14ac:dyDescent="0.25">
      <c r="A739" s="1"/>
      <c r="B739" s="1"/>
      <c r="C739" s="1"/>
      <c r="D739" s="1"/>
      <c r="E739" s="1"/>
      <c r="F739" s="1"/>
      <c r="G739" s="1"/>
      <c r="H739" s="1"/>
      <c r="I739" s="1"/>
      <c r="J739" s="1"/>
      <c r="K739" s="1"/>
      <c r="L739" s="1"/>
      <c r="M739" s="1"/>
      <c r="N739" s="1"/>
      <c r="O739" s="1"/>
      <c r="P739" s="1"/>
      <c r="Q739" s="1"/>
      <c r="R739" s="1"/>
      <c r="S739" s="1"/>
      <c r="T739" s="1"/>
      <c r="U739" s="1"/>
    </row>
    <row r="740" spans="1:21" x14ac:dyDescent="0.25">
      <c r="A740" s="1"/>
      <c r="B740" s="1"/>
      <c r="C740" s="1"/>
      <c r="D740" s="1"/>
      <c r="E740" s="1"/>
      <c r="F740" s="1"/>
      <c r="G740" s="1"/>
      <c r="H740" s="1"/>
      <c r="I740" s="1"/>
      <c r="J740" s="1"/>
      <c r="K740" s="1"/>
      <c r="L740" s="1"/>
      <c r="M740" s="1"/>
      <c r="N740" s="1"/>
      <c r="O740" s="1"/>
      <c r="P740" s="1"/>
      <c r="Q740" s="1"/>
      <c r="R740" s="1"/>
      <c r="S740" s="1"/>
      <c r="T740" s="1"/>
      <c r="U740" s="1"/>
    </row>
    <row r="741" spans="1:21" x14ac:dyDescent="0.25">
      <c r="A741" s="1"/>
      <c r="B741" s="1"/>
      <c r="C741" s="1"/>
      <c r="D741" s="1"/>
      <c r="E741" s="1"/>
      <c r="F741" s="1"/>
      <c r="G741" s="1"/>
      <c r="H741" s="1"/>
      <c r="I741" s="1"/>
      <c r="J741" s="1"/>
      <c r="K741" s="1"/>
      <c r="L741" s="1"/>
      <c r="M741" s="1"/>
      <c r="N741" s="1"/>
      <c r="O741" s="1"/>
      <c r="P741" s="1"/>
      <c r="Q741" s="1"/>
      <c r="R741" s="1"/>
      <c r="S741" s="1"/>
      <c r="T741" s="1"/>
      <c r="U741" s="1"/>
    </row>
    <row r="742" spans="1:21" x14ac:dyDescent="0.25">
      <c r="A742" s="1"/>
      <c r="B742" s="1"/>
      <c r="C742" s="1"/>
      <c r="D742" s="1"/>
      <c r="E742" s="1"/>
      <c r="F742" s="1"/>
      <c r="G742" s="1"/>
      <c r="H742" s="1"/>
      <c r="I742" s="1"/>
      <c r="J742" s="1"/>
      <c r="K742" s="1"/>
      <c r="L742" s="1"/>
      <c r="M742" s="1"/>
      <c r="N742" s="1"/>
      <c r="O742" s="1"/>
      <c r="P742" s="1"/>
      <c r="Q742" s="1"/>
      <c r="R742" s="1"/>
      <c r="S742" s="1"/>
      <c r="T742" s="1"/>
      <c r="U742" s="1"/>
    </row>
    <row r="743" spans="1:21" x14ac:dyDescent="0.25">
      <c r="A743" s="1"/>
      <c r="B743" s="1"/>
      <c r="C743" s="1"/>
      <c r="D743" s="1"/>
      <c r="E743" s="1"/>
      <c r="F743" s="1"/>
      <c r="G743" s="1"/>
      <c r="H743" s="1"/>
      <c r="I743" s="1"/>
      <c r="J743" s="1"/>
      <c r="K743" s="1"/>
      <c r="L743" s="1"/>
      <c r="M743" s="1"/>
      <c r="N743" s="1"/>
      <c r="O743" s="1"/>
      <c r="P743" s="1"/>
      <c r="Q743" s="1"/>
      <c r="R743" s="1"/>
      <c r="S743" s="1"/>
      <c r="T743" s="1"/>
      <c r="U743" s="1"/>
    </row>
    <row r="744" spans="1:21" x14ac:dyDescent="0.25">
      <c r="A744" s="1"/>
      <c r="B744" s="1"/>
      <c r="C744" s="1"/>
      <c r="D744" s="1"/>
      <c r="E744" s="1"/>
      <c r="F744" s="1"/>
      <c r="G744" s="1"/>
      <c r="H744" s="1"/>
      <c r="I744" s="1"/>
      <c r="J744" s="1"/>
      <c r="K744" s="1"/>
      <c r="L744" s="1"/>
      <c r="M744" s="1"/>
      <c r="N744" s="1"/>
      <c r="O744" s="1"/>
      <c r="P744" s="1"/>
      <c r="Q744" s="1"/>
      <c r="R744" s="1"/>
      <c r="S744" s="1"/>
      <c r="T744" s="1"/>
      <c r="U744" s="1"/>
    </row>
    <row r="745" spans="1:21" x14ac:dyDescent="0.25">
      <c r="A745" s="1"/>
      <c r="B745" s="1"/>
      <c r="C745" s="1"/>
      <c r="D745" s="1"/>
      <c r="E745" s="1"/>
      <c r="F745" s="1"/>
      <c r="G745" s="1"/>
      <c r="H745" s="1"/>
      <c r="I745" s="1"/>
      <c r="J745" s="1"/>
      <c r="K745" s="1"/>
      <c r="L745" s="1"/>
      <c r="M745" s="1"/>
      <c r="N745" s="1"/>
      <c r="O745" s="1"/>
      <c r="P745" s="1"/>
      <c r="Q745" s="1"/>
      <c r="R745" s="1"/>
      <c r="S745" s="1"/>
      <c r="T745" s="1"/>
      <c r="U745" s="1"/>
    </row>
    <row r="746" spans="1:21" x14ac:dyDescent="0.25">
      <c r="A746" s="1"/>
      <c r="B746" s="1"/>
      <c r="C746" s="1"/>
      <c r="D746" s="1"/>
      <c r="E746" s="1"/>
      <c r="F746" s="1"/>
      <c r="G746" s="1"/>
      <c r="H746" s="1"/>
      <c r="I746" s="1"/>
      <c r="J746" s="1"/>
      <c r="K746" s="1"/>
      <c r="L746" s="1"/>
      <c r="M746" s="1"/>
      <c r="N746" s="1"/>
      <c r="O746" s="1"/>
      <c r="P746" s="1"/>
      <c r="Q746" s="1"/>
      <c r="R746" s="1"/>
      <c r="S746" s="1"/>
      <c r="T746" s="1"/>
      <c r="U746" s="1"/>
    </row>
    <row r="747" spans="1:21" x14ac:dyDescent="0.25">
      <c r="A747" s="1"/>
      <c r="B747" s="1"/>
      <c r="C747" s="1"/>
      <c r="D747" s="1"/>
      <c r="E747" s="1"/>
      <c r="F747" s="1"/>
      <c r="G747" s="1"/>
      <c r="H747" s="1"/>
      <c r="I747" s="1"/>
      <c r="J747" s="1"/>
      <c r="K747" s="1"/>
      <c r="L747" s="1"/>
      <c r="M747" s="1"/>
      <c r="N747" s="1"/>
      <c r="O747" s="1"/>
      <c r="P747" s="1"/>
      <c r="Q747" s="1"/>
      <c r="R747" s="1"/>
      <c r="S747" s="1"/>
      <c r="T747" s="1"/>
      <c r="U747" s="1"/>
    </row>
    <row r="748" spans="1:21" x14ac:dyDescent="0.25">
      <c r="A748" s="1"/>
      <c r="B748" s="1"/>
      <c r="C748" s="1"/>
      <c r="D748" s="1"/>
      <c r="E748" s="1"/>
      <c r="F748" s="1"/>
      <c r="G748" s="1"/>
      <c r="H748" s="1"/>
      <c r="I748" s="1"/>
      <c r="J748" s="1"/>
      <c r="K748" s="1"/>
      <c r="L748" s="1"/>
      <c r="M748" s="1"/>
      <c r="N748" s="1"/>
      <c r="O748" s="1"/>
      <c r="P748" s="1"/>
      <c r="Q748" s="1"/>
      <c r="R748" s="1"/>
      <c r="S748" s="1"/>
      <c r="T748" s="1"/>
      <c r="U748" s="1"/>
    </row>
    <row r="749" spans="1:21" x14ac:dyDescent="0.25">
      <c r="A749" s="1"/>
      <c r="B749" s="1"/>
      <c r="C749" s="1"/>
      <c r="D749" s="1"/>
      <c r="E749" s="1"/>
      <c r="F749" s="1"/>
      <c r="G749" s="1"/>
      <c r="H749" s="1"/>
      <c r="I749" s="1"/>
      <c r="J749" s="1"/>
      <c r="K749" s="1"/>
      <c r="L749" s="1"/>
      <c r="M749" s="1"/>
      <c r="N749" s="1"/>
      <c r="O749" s="1"/>
      <c r="P749" s="1"/>
      <c r="Q749" s="1"/>
      <c r="R749" s="1"/>
      <c r="S749" s="1"/>
      <c r="T749" s="1"/>
      <c r="U749" s="1"/>
    </row>
    <row r="750" spans="1:21" x14ac:dyDescent="0.25">
      <c r="A750" s="1"/>
      <c r="B750" s="1"/>
      <c r="C750" s="1"/>
      <c r="D750" s="1"/>
      <c r="E750" s="1"/>
      <c r="F750" s="1"/>
      <c r="G750" s="1"/>
      <c r="H750" s="1"/>
      <c r="I750" s="1"/>
      <c r="J750" s="1"/>
      <c r="K750" s="1"/>
      <c r="L750" s="1"/>
      <c r="M750" s="1"/>
      <c r="N750" s="1"/>
      <c r="O750" s="1"/>
      <c r="P750" s="1"/>
      <c r="Q750" s="1"/>
      <c r="R750" s="1"/>
      <c r="S750" s="1"/>
      <c r="T750" s="1"/>
      <c r="U750" s="1"/>
    </row>
    <row r="751" spans="1:21" x14ac:dyDescent="0.25">
      <c r="A751" s="1"/>
      <c r="B751" s="1"/>
      <c r="C751" s="1"/>
      <c r="D751" s="1"/>
      <c r="E751" s="1"/>
      <c r="F751" s="1"/>
      <c r="G751" s="1"/>
      <c r="H751" s="1"/>
      <c r="I751" s="1"/>
      <c r="J751" s="1"/>
      <c r="K751" s="1"/>
      <c r="L751" s="1"/>
      <c r="M751" s="1"/>
      <c r="N751" s="1"/>
      <c r="O751" s="1"/>
      <c r="P751" s="1"/>
      <c r="Q751" s="1"/>
      <c r="R751" s="1"/>
      <c r="S751" s="1"/>
      <c r="T751" s="1"/>
      <c r="U751" s="1"/>
    </row>
    <row r="752" spans="1:21" x14ac:dyDescent="0.25">
      <c r="A752" s="1"/>
      <c r="B752" s="1"/>
      <c r="C752" s="1"/>
      <c r="D752" s="1"/>
      <c r="E752" s="1"/>
      <c r="F752" s="1"/>
      <c r="G752" s="1"/>
      <c r="H752" s="1"/>
      <c r="I752" s="1"/>
      <c r="J752" s="1"/>
      <c r="K752" s="1"/>
      <c r="L752" s="1"/>
      <c r="M752" s="1"/>
      <c r="N752" s="1"/>
      <c r="O752" s="1"/>
      <c r="P752" s="1"/>
      <c r="Q752" s="1"/>
      <c r="R752" s="1"/>
      <c r="S752" s="1"/>
      <c r="T752" s="1"/>
      <c r="U752" s="1"/>
    </row>
    <row r="753" spans="1:21" x14ac:dyDescent="0.25">
      <c r="A753" s="1"/>
      <c r="B753" s="1"/>
      <c r="C753" s="1"/>
      <c r="D753" s="1"/>
      <c r="E753" s="1"/>
      <c r="F753" s="1"/>
      <c r="G753" s="1"/>
      <c r="H753" s="1"/>
      <c r="I753" s="1"/>
      <c r="J753" s="1"/>
      <c r="K753" s="1"/>
      <c r="L753" s="1"/>
      <c r="M753" s="1"/>
      <c r="N753" s="1"/>
      <c r="O753" s="1"/>
      <c r="P753" s="1"/>
      <c r="Q753" s="1"/>
      <c r="R753" s="1"/>
      <c r="S753" s="1"/>
      <c r="T753" s="1"/>
      <c r="U753" s="1"/>
    </row>
    <row r="754" spans="1:21" x14ac:dyDescent="0.25">
      <c r="A754" s="1"/>
      <c r="B754" s="1"/>
      <c r="C754" s="1"/>
      <c r="D754" s="1"/>
      <c r="E754" s="1"/>
      <c r="F754" s="1"/>
      <c r="G754" s="1"/>
      <c r="H754" s="1"/>
      <c r="I754" s="1"/>
      <c r="J754" s="1"/>
      <c r="K754" s="1"/>
      <c r="L754" s="1"/>
      <c r="M754" s="1"/>
      <c r="N754" s="1"/>
      <c r="O754" s="1"/>
      <c r="P754" s="1"/>
      <c r="Q754" s="1"/>
      <c r="R754" s="1"/>
      <c r="S754" s="1"/>
      <c r="T754" s="1"/>
      <c r="U754" s="1"/>
    </row>
    <row r="755" spans="1:21" x14ac:dyDescent="0.25">
      <c r="A755" s="1"/>
      <c r="B755" s="1"/>
      <c r="C755" s="1"/>
      <c r="D755" s="1"/>
      <c r="E755" s="1"/>
      <c r="F755" s="1"/>
      <c r="G755" s="1"/>
      <c r="H755" s="1"/>
      <c r="I755" s="1"/>
      <c r="J755" s="1"/>
      <c r="K755" s="1"/>
      <c r="L755" s="1"/>
      <c r="M755" s="1"/>
      <c r="N755" s="1"/>
      <c r="O755" s="1"/>
      <c r="P755" s="1"/>
      <c r="Q755" s="1"/>
      <c r="R755" s="1"/>
      <c r="S755" s="1"/>
      <c r="T755" s="1"/>
      <c r="U755" s="1"/>
    </row>
    <row r="756" spans="1:21" x14ac:dyDescent="0.25">
      <c r="A756" s="1"/>
      <c r="B756" s="1"/>
      <c r="C756" s="1"/>
      <c r="D756" s="1"/>
      <c r="E756" s="1"/>
      <c r="F756" s="1"/>
      <c r="G756" s="1"/>
      <c r="H756" s="1"/>
      <c r="I756" s="1"/>
      <c r="J756" s="1"/>
      <c r="K756" s="1"/>
      <c r="L756" s="1"/>
      <c r="M756" s="1"/>
      <c r="N756" s="1"/>
      <c r="O756" s="1"/>
      <c r="P756" s="1"/>
      <c r="Q756" s="1"/>
      <c r="R756" s="1"/>
      <c r="S756" s="1"/>
      <c r="T756" s="1"/>
      <c r="U756" s="1"/>
    </row>
    <row r="757" spans="1:21" x14ac:dyDescent="0.25">
      <c r="A757" s="1"/>
      <c r="B757" s="1"/>
      <c r="C757" s="1"/>
      <c r="D757" s="1"/>
      <c r="E757" s="1"/>
      <c r="F757" s="1"/>
      <c r="G757" s="1"/>
      <c r="H757" s="1"/>
      <c r="I757" s="1"/>
      <c r="J757" s="1"/>
      <c r="K757" s="1"/>
      <c r="L757" s="1"/>
      <c r="M757" s="1"/>
      <c r="N757" s="1"/>
      <c r="O757" s="1"/>
      <c r="P757" s="1"/>
      <c r="Q757" s="1"/>
      <c r="R757" s="1"/>
      <c r="S757" s="1"/>
      <c r="T757" s="1"/>
      <c r="U757" s="1"/>
    </row>
    <row r="758" spans="1:21" x14ac:dyDescent="0.25">
      <c r="A758" s="1"/>
      <c r="B758" s="1"/>
      <c r="C758" s="1"/>
      <c r="D758" s="1"/>
      <c r="E758" s="1"/>
      <c r="F758" s="1"/>
      <c r="G758" s="1"/>
      <c r="H758" s="1"/>
      <c r="I758" s="1"/>
      <c r="J758" s="1"/>
      <c r="K758" s="1"/>
      <c r="L758" s="1"/>
      <c r="M758" s="1"/>
      <c r="N758" s="1"/>
      <c r="O758" s="1"/>
      <c r="P758" s="1"/>
      <c r="Q758" s="1"/>
      <c r="R758" s="1"/>
      <c r="S758" s="1"/>
      <c r="T758" s="1"/>
      <c r="U758" s="1"/>
    </row>
    <row r="759" spans="1:21" x14ac:dyDescent="0.25">
      <c r="A759" s="1"/>
      <c r="B759" s="1"/>
      <c r="C759" s="1"/>
      <c r="D759" s="1"/>
      <c r="E759" s="1"/>
      <c r="F759" s="1"/>
      <c r="G759" s="1"/>
      <c r="H759" s="1"/>
      <c r="I759" s="1"/>
      <c r="J759" s="1"/>
      <c r="K759" s="1"/>
      <c r="L759" s="1"/>
      <c r="M759" s="1"/>
      <c r="N759" s="1"/>
      <c r="O759" s="1"/>
      <c r="P759" s="1"/>
      <c r="Q759" s="1"/>
      <c r="R759" s="1"/>
      <c r="S759" s="1"/>
      <c r="T759" s="1"/>
      <c r="U759" s="1"/>
    </row>
    <row r="760" spans="1:21" x14ac:dyDescent="0.25">
      <c r="A760" s="1"/>
      <c r="B760" s="1"/>
      <c r="C760" s="1"/>
      <c r="D760" s="1"/>
      <c r="E760" s="1"/>
      <c r="F760" s="1"/>
      <c r="G760" s="1"/>
      <c r="H760" s="1"/>
      <c r="I760" s="1"/>
      <c r="J760" s="1"/>
      <c r="K760" s="1"/>
      <c r="L760" s="1"/>
      <c r="M760" s="1"/>
      <c r="N760" s="1"/>
      <c r="O760" s="1"/>
      <c r="P760" s="1"/>
      <c r="Q760" s="1"/>
      <c r="R760" s="1"/>
      <c r="S760" s="1"/>
      <c r="T760" s="1"/>
      <c r="U760" s="1"/>
    </row>
    <row r="761" spans="1:21" x14ac:dyDescent="0.25">
      <c r="A761" s="1"/>
      <c r="B761" s="1"/>
      <c r="C761" s="1"/>
      <c r="D761" s="1"/>
      <c r="E761" s="1"/>
      <c r="F761" s="1"/>
      <c r="G761" s="1"/>
      <c r="H761" s="1"/>
      <c r="I761" s="1"/>
      <c r="J761" s="1"/>
      <c r="K761" s="1"/>
      <c r="L761" s="1"/>
      <c r="M761" s="1"/>
      <c r="N761" s="1"/>
      <c r="O761" s="1"/>
      <c r="P761" s="1"/>
      <c r="Q761" s="1"/>
      <c r="R761" s="1"/>
      <c r="S761" s="1"/>
      <c r="T761" s="1"/>
      <c r="U761" s="1"/>
    </row>
    <row r="762" spans="1:21" x14ac:dyDescent="0.25">
      <c r="A762" s="1"/>
      <c r="B762" s="1"/>
      <c r="C762" s="1"/>
      <c r="D762" s="1"/>
      <c r="E762" s="1"/>
      <c r="F762" s="1"/>
      <c r="G762" s="1"/>
      <c r="H762" s="1"/>
      <c r="I762" s="1"/>
      <c r="J762" s="1"/>
      <c r="K762" s="1"/>
      <c r="L762" s="1"/>
      <c r="M762" s="1"/>
      <c r="N762" s="1"/>
      <c r="O762" s="1"/>
      <c r="P762" s="1"/>
      <c r="Q762" s="1"/>
      <c r="R762" s="1"/>
      <c r="S762" s="1"/>
      <c r="T762" s="1"/>
      <c r="U762" s="1"/>
    </row>
    <row r="763" spans="1:21" x14ac:dyDescent="0.25">
      <c r="A763" s="1"/>
      <c r="B763" s="1"/>
      <c r="C763" s="1"/>
      <c r="D763" s="1"/>
      <c r="E763" s="1"/>
      <c r="F763" s="1"/>
      <c r="G763" s="1"/>
      <c r="H763" s="1"/>
      <c r="I763" s="1"/>
      <c r="J763" s="1"/>
      <c r="K763" s="1"/>
      <c r="L763" s="1"/>
      <c r="M763" s="1"/>
      <c r="N763" s="1"/>
      <c r="O763" s="1"/>
      <c r="P763" s="1"/>
      <c r="Q763" s="1"/>
      <c r="R763" s="1"/>
      <c r="S763" s="1"/>
      <c r="T763" s="1"/>
      <c r="U763" s="1"/>
    </row>
    <row r="764" spans="1:21" x14ac:dyDescent="0.25">
      <c r="A764" s="1"/>
      <c r="B764" s="1"/>
      <c r="C764" s="1"/>
      <c r="D764" s="1"/>
      <c r="E764" s="1"/>
      <c r="F764" s="1"/>
      <c r="G764" s="1"/>
      <c r="H764" s="1"/>
      <c r="I764" s="1"/>
      <c r="J764" s="1"/>
      <c r="K764" s="1"/>
      <c r="L764" s="1"/>
      <c r="M764" s="1"/>
      <c r="N764" s="1"/>
      <c r="O764" s="1"/>
      <c r="P764" s="1"/>
      <c r="Q764" s="1"/>
      <c r="R764" s="1"/>
      <c r="S764" s="1"/>
      <c r="T764" s="1"/>
      <c r="U764" s="1"/>
    </row>
    <row r="765" spans="1:21" x14ac:dyDescent="0.25">
      <c r="A765" s="1"/>
      <c r="B765" s="1"/>
      <c r="C765" s="1"/>
      <c r="D765" s="1"/>
      <c r="E765" s="1"/>
      <c r="F765" s="1"/>
      <c r="G765" s="1"/>
      <c r="H765" s="1"/>
      <c r="I765" s="1"/>
      <c r="J765" s="1"/>
      <c r="K765" s="1"/>
      <c r="L765" s="1"/>
      <c r="M765" s="1"/>
      <c r="N765" s="1"/>
      <c r="O765" s="1"/>
      <c r="P765" s="1"/>
      <c r="Q765" s="1"/>
      <c r="R765" s="1"/>
      <c r="S765" s="1"/>
      <c r="T765" s="1"/>
      <c r="U765" s="1"/>
    </row>
    <row r="766" spans="1:21" x14ac:dyDescent="0.25">
      <c r="A766" s="1"/>
      <c r="B766" s="1"/>
      <c r="C766" s="1"/>
      <c r="D766" s="1"/>
      <c r="E766" s="1"/>
      <c r="F766" s="1"/>
      <c r="G766" s="1"/>
      <c r="H766" s="1"/>
      <c r="I766" s="1"/>
      <c r="J766" s="1"/>
      <c r="K766" s="1"/>
      <c r="L766" s="1"/>
      <c r="M766" s="1"/>
      <c r="N766" s="1"/>
      <c r="O766" s="1"/>
      <c r="P766" s="1"/>
      <c r="Q766" s="1"/>
      <c r="R766" s="1"/>
      <c r="S766" s="1"/>
      <c r="T766" s="1"/>
      <c r="U766" s="1"/>
    </row>
    <row r="767" spans="1:21" x14ac:dyDescent="0.25">
      <c r="A767" s="1"/>
      <c r="B767" s="1"/>
      <c r="C767" s="1"/>
      <c r="D767" s="1"/>
      <c r="E767" s="1"/>
      <c r="F767" s="1"/>
      <c r="G767" s="1"/>
      <c r="H767" s="1"/>
      <c r="I767" s="1"/>
      <c r="J767" s="1"/>
      <c r="K767" s="1"/>
      <c r="L767" s="1"/>
      <c r="M767" s="1"/>
      <c r="N767" s="1"/>
      <c r="O767" s="1"/>
      <c r="P767" s="1"/>
      <c r="Q767" s="1"/>
      <c r="R767" s="1"/>
      <c r="S767" s="1"/>
      <c r="T767" s="1"/>
      <c r="U767" s="1"/>
    </row>
    <row r="768" spans="1:21" x14ac:dyDescent="0.25">
      <c r="A768" s="1"/>
      <c r="B768" s="1"/>
      <c r="C768" s="1"/>
      <c r="D768" s="1"/>
      <c r="E768" s="1"/>
      <c r="F768" s="1"/>
      <c r="G768" s="1"/>
      <c r="H768" s="1"/>
      <c r="I768" s="1"/>
      <c r="J768" s="1"/>
      <c r="K768" s="1"/>
      <c r="L768" s="1"/>
      <c r="M768" s="1"/>
      <c r="N768" s="1"/>
      <c r="O768" s="1"/>
      <c r="P768" s="1"/>
      <c r="Q768" s="1"/>
      <c r="R768" s="1"/>
      <c r="S768" s="1"/>
      <c r="T768" s="1"/>
      <c r="U768" s="1"/>
    </row>
    <row r="769" spans="1:21" x14ac:dyDescent="0.25">
      <c r="A769" s="1"/>
      <c r="B769" s="1"/>
      <c r="C769" s="1"/>
      <c r="D769" s="1"/>
      <c r="E769" s="1"/>
      <c r="F769" s="1"/>
      <c r="G769" s="1"/>
      <c r="H769" s="1"/>
      <c r="I769" s="1"/>
      <c r="J769" s="1"/>
      <c r="K769" s="1"/>
      <c r="L769" s="1"/>
      <c r="M769" s="1"/>
      <c r="N769" s="1"/>
      <c r="O769" s="1"/>
      <c r="P769" s="1"/>
      <c r="Q769" s="1"/>
      <c r="R769" s="1"/>
      <c r="S769" s="1"/>
      <c r="T769" s="1"/>
      <c r="U769" s="1"/>
    </row>
    <row r="770" spans="1:21" x14ac:dyDescent="0.25">
      <c r="A770" s="1"/>
      <c r="B770" s="1"/>
      <c r="C770" s="1"/>
      <c r="D770" s="1"/>
      <c r="E770" s="1"/>
      <c r="F770" s="1"/>
      <c r="G770" s="1"/>
      <c r="H770" s="1"/>
      <c r="I770" s="1"/>
      <c r="J770" s="1"/>
      <c r="K770" s="1"/>
      <c r="L770" s="1"/>
      <c r="M770" s="1"/>
      <c r="N770" s="1"/>
      <c r="O770" s="1"/>
      <c r="P770" s="1"/>
      <c r="Q770" s="1"/>
      <c r="R770" s="1"/>
      <c r="S770" s="1"/>
      <c r="T770" s="1"/>
      <c r="U770" s="1"/>
    </row>
    <row r="771" spans="1:21" x14ac:dyDescent="0.25">
      <c r="A771" s="1"/>
      <c r="B771" s="1"/>
      <c r="C771" s="1"/>
      <c r="D771" s="1"/>
      <c r="E771" s="1"/>
      <c r="F771" s="1"/>
      <c r="G771" s="1"/>
      <c r="H771" s="1"/>
      <c r="I771" s="1"/>
      <c r="J771" s="1"/>
      <c r="K771" s="1"/>
      <c r="L771" s="1"/>
      <c r="M771" s="1"/>
      <c r="N771" s="1"/>
      <c r="O771" s="1"/>
      <c r="P771" s="1"/>
      <c r="Q771" s="1"/>
      <c r="R771" s="1"/>
      <c r="S771" s="1"/>
      <c r="T771" s="1"/>
      <c r="U771" s="1"/>
    </row>
    <row r="772" spans="1:21" x14ac:dyDescent="0.25">
      <c r="A772" s="1"/>
      <c r="B772" s="1"/>
      <c r="C772" s="1"/>
      <c r="D772" s="1"/>
      <c r="E772" s="1"/>
      <c r="F772" s="1"/>
      <c r="G772" s="1"/>
      <c r="H772" s="1"/>
      <c r="I772" s="1"/>
      <c r="J772" s="1"/>
      <c r="K772" s="1"/>
      <c r="L772" s="1"/>
      <c r="M772" s="1"/>
      <c r="N772" s="1"/>
      <c r="O772" s="1"/>
      <c r="P772" s="1"/>
      <c r="Q772" s="1"/>
      <c r="R772" s="1"/>
      <c r="S772" s="1"/>
      <c r="T772" s="1"/>
      <c r="U772" s="1"/>
    </row>
    <row r="773" spans="1:21" x14ac:dyDescent="0.25">
      <c r="A773" s="1"/>
      <c r="B773" s="1"/>
      <c r="C773" s="1"/>
      <c r="D773" s="1"/>
      <c r="E773" s="1"/>
      <c r="F773" s="1"/>
      <c r="G773" s="1"/>
      <c r="H773" s="1"/>
      <c r="I773" s="1"/>
      <c r="J773" s="1"/>
      <c r="K773" s="1"/>
      <c r="L773" s="1"/>
      <c r="M773" s="1"/>
      <c r="N773" s="1"/>
      <c r="O773" s="1"/>
      <c r="P773" s="1"/>
      <c r="Q773" s="1"/>
      <c r="R773" s="1"/>
      <c r="S773" s="1"/>
      <c r="T773" s="1"/>
      <c r="U773" s="1"/>
    </row>
    <row r="774" spans="1:21" x14ac:dyDescent="0.25">
      <c r="A774" s="1"/>
      <c r="B774" s="1"/>
      <c r="C774" s="1"/>
      <c r="D774" s="1"/>
      <c r="E774" s="1"/>
      <c r="F774" s="1"/>
      <c r="G774" s="1"/>
      <c r="H774" s="1"/>
      <c r="I774" s="1"/>
      <c r="J774" s="1"/>
      <c r="K774" s="1"/>
      <c r="L774" s="1"/>
      <c r="M774" s="1"/>
      <c r="N774" s="1"/>
      <c r="O774" s="1"/>
      <c r="P774" s="1"/>
      <c r="Q774" s="1"/>
      <c r="R774" s="1"/>
      <c r="S774" s="1"/>
      <c r="T774" s="1"/>
      <c r="U774" s="1"/>
    </row>
    <row r="775" spans="1:21" x14ac:dyDescent="0.25">
      <c r="A775" s="1"/>
      <c r="B775" s="1"/>
      <c r="C775" s="1"/>
      <c r="D775" s="1"/>
      <c r="E775" s="1"/>
      <c r="F775" s="1"/>
      <c r="G775" s="1"/>
      <c r="H775" s="1"/>
      <c r="I775" s="1"/>
      <c r="J775" s="1"/>
      <c r="K775" s="1"/>
      <c r="L775" s="1"/>
      <c r="M775" s="1"/>
      <c r="N775" s="1"/>
      <c r="O775" s="1"/>
      <c r="P775" s="1"/>
      <c r="Q775" s="1"/>
      <c r="R775" s="1"/>
      <c r="S775" s="1"/>
      <c r="T775" s="1"/>
      <c r="U775" s="1"/>
    </row>
    <row r="776" spans="1:21" x14ac:dyDescent="0.25">
      <c r="A776" s="1"/>
      <c r="B776" s="1"/>
      <c r="C776" s="1"/>
      <c r="D776" s="1"/>
      <c r="E776" s="1"/>
      <c r="F776" s="1"/>
      <c r="G776" s="1"/>
      <c r="H776" s="1"/>
      <c r="I776" s="1"/>
      <c r="J776" s="1"/>
      <c r="K776" s="1"/>
      <c r="L776" s="1"/>
      <c r="M776" s="1"/>
      <c r="N776" s="1"/>
      <c r="O776" s="1"/>
      <c r="P776" s="1"/>
      <c r="Q776" s="1"/>
      <c r="R776" s="1"/>
      <c r="S776" s="1"/>
      <c r="T776" s="1"/>
      <c r="U776" s="1"/>
    </row>
    <row r="777" spans="1:21" x14ac:dyDescent="0.25">
      <c r="A777" s="1"/>
      <c r="B777" s="1"/>
      <c r="C777" s="1"/>
      <c r="D777" s="1"/>
      <c r="E777" s="1"/>
      <c r="F777" s="1"/>
      <c r="G777" s="1"/>
      <c r="H777" s="1"/>
      <c r="I777" s="1"/>
      <c r="J777" s="1"/>
      <c r="K777" s="1"/>
      <c r="L777" s="1"/>
      <c r="M777" s="1"/>
      <c r="N777" s="1"/>
      <c r="O777" s="1"/>
      <c r="P777" s="1"/>
      <c r="Q777" s="1"/>
      <c r="R777" s="1"/>
      <c r="S777" s="1"/>
      <c r="T777" s="1"/>
      <c r="U777" s="1"/>
    </row>
    <row r="778" spans="1:21" x14ac:dyDescent="0.25">
      <c r="A778" s="1"/>
      <c r="B778" s="1"/>
      <c r="C778" s="1"/>
      <c r="D778" s="1"/>
      <c r="E778" s="1"/>
      <c r="F778" s="1"/>
      <c r="G778" s="1"/>
      <c r="H778" s="1"/>
      <c r="I778" s="1"/>
      <c r="J778" s="1"/>
      <c r="K778" s="1"/>
      <c r="L778" s="1"/>
      <c r="M778" s="1"/>
      <c r="N778" s="1"/>
      <c r="O778" s="1"/>
      <c r="P778" s="1"/>
      <c r="Q778" s="1"/>
      <c r="R778" s="1"/>
      <c r="S778" s="1"/>
      <c r="T778" s="1"/>
      <c r="U778" s="1"/>
    </row>
    <row r="779" spans="1:21" x14ac:dyDescent="0.25">
      <c r="A779" s="1"/>
      <c r="B779" s="1"/>
      <c r="C779" s="1"/>
      <c r="D779" s="1"/>
      <c r="E779" s="1"/>
      <c r="F779" s="1"/>
      <c r="G779" s="1"/>
      <c r="H779" s="1"/>
      <c r="I779" s="1"/>
      <c r="J779" s="1"/>
      <c r="K779" s="1"/>
      <c r="L779" s="1"/>
      <c r="M779" s="1"/>
      <c r="N779" s="1"/>
      <c r="O779" s="1"/>
      <c r="P779" s="1"/>
      <c r="Q779" s="1"/>
      <c r="R779" s="1"/>
      <c r="S779" s="1"/>
      <c r="T779" s="1"/>
      <c r="U779" s="1"/>
    </row>
    <row r="780" spans="1:21" x14ac:dyDescent="0.25">
      <c r="A780" s="1"/>
      <c r="B780" s="1"/>
      <c r="C780" s="1"/>
      <c r="D780" s="1"/>
      <c r="E780" s="1"/>
      <c r="F780" s="1"/>
      <c r="G780" s="1"/>
      <c r="H780" s="1"/>
      <c r="I780" s="1"/>
      <c r="J780" s="1"/>
      <c r="K780" s="1"/>
      <c r="L780" s="1"/>
      <c r="M780" s="1"/>
      <c r="N780" s="1"/>
      <c r="O780" s="1"/>
      <c r="P780" s="1"/>
      <c r="Q780" s="1"/>
      <c r="R780" s="1"/>
      <c r="S780" s="1"/>
      <c r="T780" s="1"/>
      <c r="U780" s="1"/>
    </row>
    <row r="781" spans="1:21" x14ac:dyDescent="0.25">
      <c r="A781" s="1"/>
      <c r="B781" s="1"/>
      <c r="C781" s="1"/>
      <c r="D781" s="1"/>
      <c r="E781" s="1"/>
      <c r="F781" s="1"/>
      <c r="G781" s="1"/>
      <c r="H781" s="1"/>
      <c r="I781" s="1"/>
      <c r="J781" s="1"/>
      <c r="K781" s="1"/>
      <c r="L781" s="1"/>
      <c r="M781" s="1"/>
      <c r="N781" s="1"/>
      <c r="O781" s="1"/>
      <c r="P781" s="1"/>
      <c r="Q781" s="1"/>
      <c r="R781" s="1"/>
      <c r="S781" s="1"/>
      <c r="T781" s="1"/>
      <c r="U781" s="1"/>
    </row>
    <row r="782" spans="1:21" x14ac:dyDescent="0.25">
      <c r="A782" s="1"/>
      <c r="B782" s="1"/>
      <c r="C782" s="1"/>
      <c r="D782" s="1"/>
      <c r="E782" s="1"/>
      <c r="F782" s="1"/>
      <c r="G782" s="1"/>
      <c r="H782" s="1"/>
      <c r="I782" s="1"/>
      <c r="J782" s="1"/>
      <c r="K782" s="1"/>
      <c r="L782" s="1"/>
      <c r="M782" s="1"/>
      <c r="N782" s="1"/>
      <c r="O782" s="1"/>
      <c r="P782" s="1"/>
      <c r="Q782" s="1"/>
      <c r="R782" s="1"/>
      <c r="S782" s="1"/>
      <c r="T782" s="1"/>
      <c r="U782" s="1"/>
    </row>
    <row r="783" spans="1:21" x14ac:dyDescent="0.25">
      <c r="A783" s="1"/>
      <c r="B783" s="1"/>
      <c r="C783" s="1"/>
      <c r="D783" s="1"/>
      <c r="E783" s="1"/>
      <c r="F783" s="1"/>
      <c r="G783" s="1"/>
      <c r="H783" s="1"/>
      <c r="I783" s="1"/>
      <c r="J783" s="1"/>
      <c r="K783" s="1"/>
      <c r="L783" s="1"/>
      <c r="M783" s="1"/>
      <c r="N783" s="1"/>
      <c r="O783" s="1"/>
      <c r="P783" s="1"/>
      <c r="Q783" s="1"/>
      <c r="R783" s="1"/>
      <c r="S783" s="1"/>
      <c r="T783" s="1"/>
      <c r="U783" s="1"/>
    </row>
    <row r="784" spans="1:21" x14ac:dyDescent="0.25">
      <c r="A784" s="1"/>
      <c r="B784" s="1"/>
      <c r="C784" s="1"/>
      <c r="D784" s="1"/>
      <c r="E784" s="1"/>
      <c r="F784" s="1"/>
      <c r="G784" s="1"/>
      <c r="H784" s="1"/>
      <c r="I784" s="1"/>
      <c r="J784" s="1"/>
      <c r="K784" s="1"/>
      <c r="L784" s="1"/>
      <c r="M784" s="1"/>
      <c r="N784" s="1"/>
      <c r="O784" s="1"/>
      <c r="P784" s="1"/>
      <c r="Q784" s="1"/>
      <c r="R784" s="1"/>
      <c r="S784" s="1"/>
      <c r="T784" s="1"/>
      <c r="U784" s="1"/>
    </row>
    <row r="785" spans="1:21" x14ac:dyDescent="0.25">
      <c r="A785" s="1"/>
      <c r="B785" s="1"/>
      <c r="C785" s="1"/>
      <c r="D785" s="1"/>
      <c r="E785" s="1"/>
      <c r="F785" s="1"/>
      <c r="G785" s="1"/>
      <c r="H785" s="1"/>
      <c r="I785" s="1"/>
      <c r="J785" s="1"/>
      <c r="K785" s="1"/>
      <c r="L785" s="1"/>
      <c r="M785" s="1"/>
      <c r="N785" s="1"/>
      <c r="O785" s="1"/>
      <c r="P785" s="1"/>
      <c r="Q785" s="1"/>
      <c r="R785" s="1"/>
      <c r="S785" s="1"/>
      <c r="T785" s="1"/>
      <c r="U785" s="1"/>
    </row>
    <row r="786" spans="1:21" x14ac:dyDescent="0.25">
      <c r="A786" s="1"/>
      <c r="B786" s="1"/>
      <c r="C786" s="1"/>
      <c r="D786" s="1"/>
      <c r="E786" s="1"/>
      <c r="F786" s="1"/>
      <c r="G786" s="1"/>
      <c r="H786" s="1"/>
      <c r="I786" s="1"/>
      <c r="J786" s="1"/>
      <c r="K786" s="1"/>
      <c r="L786" s="1"/>
      <c r="M786" s="1"/>
      <c r="N786" s="1"/>
      <c r="O786" s="1"/>
      <c r="P786" s="1"/>
      <c r="Q786" s="1"/>
      <c r="R786" s="1"/>
      <c r="S786" s="1"/>
      <c r="T786" s="1"/>
      <c r="U786" s="1"/>
    </row>
    <row r="787" spans="1:21" x14ac:dyDescent="0.25">
      <c r="A787" s="1"/>
      <c r="B787" s="1"/>
      <c r="C787" s="1"/>
      <c r="D787" s="1"/>
      <c r="E787" s="1"/>
      <c r="F787" s="1"/>
      <c r="G787" s="1"/>
      <c r="H787" s="1"/>
      <c r="I787" s="1"/>
      <c r="J787" s="1"/>
      <c r="K787" s="1"/>
      <c r="L787" s="1"/>
      <c r="M787" s="1"/>
      <c r="N787" s="1"/>
      <c r="O787" s="1"/>
      <c r="P787" s="1"/>
      <c r="Q787" s="1"/>
      <c r="R787" s="1"/>
      <c r="S787" s="1"/>
      <c r="T787" s="1"/>
      <c r="U787" s="1"/>
    </row>
    <row r="788" spans="1:21" x14ac:dyDescent="0.25">
      <c r="A788" s="1"/>
      <c r="B788" s="1"/>
      <c r="C788" s="1"/>
      <c r="D788" s="1"/>
      <c r="E788" s="1"/>
      <c r="F788" s="1"/>
      <c r="G788" s="1"/>
      <c r="H788" s="1"/>
      <c r="I788" s="1"/>
      <c r="J788" s="1"/>
      <c r="K788" s="1"/>
      <c r="L788" s="1"/>
      <c r="M788" s="1"/>
      <c r="N788" s="1"/>
      <c r="O788" s="1"/>
      <c r="P788" s="1"/>
      <c r="Q788" s="1"/>
      <c r="R788" s="1"/>
      <c r="S788" s="1"/>
      <c r="T788" s="1"/>
      <c r="U788" s="1"/>
    </row>
    <row r="789" spans="1:21" x14ac:dyDescent="0.25">
      <c r="A789" s="1"/>
      <c r="B789" s="1"/>
      <c r="C789" s="1"/>
      <c r="D789" s="1"/>
      <c r="E789" s="1"/>
      <c r="F789" s="1"/>
      <c r="G789" s="1"/>
      <c r="H789" s="1"/>
      <c r="I789" s="1"/>
      <c r="J789" s="1"/>
      <c r="K789" s="1"/>
      <c r="L789" s="1"/>
      <c r="M789" s="1"/>
      <c r="N789" s="1"/>
      <c r="O789" s="1"/>
      <c r="P789" s="1"/>
      <c r="Q789" s="1"/>
      <c r="R789" s="1"/>
      <c r="S789" s="1"/>
      <c r="T789" s="1"/>
      <c r="U789" s="1"/>
    </row>
    <row r="790" spans="1:21" x14ac:dyDescent="0.25">
      <c r="A790" s="1"/>
      <c r="B790" s="1"/>
      <c r="C790" s="1"/>
      <c r="D790" s="1"/>
      <c r="E790" s="1"/>
      <c r="F790" s="1"/>
      <c r="G790" s="1"/>
      <c r="H790" s="1"/>
      <c r="I790" s="1"/>
      <c r="J790" s="1"/>
      <c r="K790" s="1"/>
      <c r="L790" s="1"/>
      <c r="M790" s="1"/>
      <c r="N790" s="1"/>
      <c r="O790" s="1"/>
      <c r="P790" s="1"/>
      <c r="Q790" s="1"/>
      <c r="R790" s="1"/>
      <c r="S790" s="1"/>
      <c r="T790" s="1"/>
      <c r="U790" s="1"/>
    </row>
    <row r="791" spans="1:21" x14ac:dyDescent="0.25">
      <c r="A791" s="1"/>
      <c r="B791" s="1"/>
      <c r="C791" s="1"/>
      <c r="D791" s="1"/>
      <c r="E791" s="1"/>
      <c r="F791" s="1"/>
      <c r="G791" s="1"/>
      <c r="H791" s="1"/>
      <c r="I791" s="1"/>
      <c r="J791" s="1"/>
      <c r="K791" s="1"/>
      <c r="L791" s="1"/>
      <c r="M791" s="1"/>
      <c r="N791" s="1"/>
      <c r="O791" s="1"/>
      <c r="P791" s="1"/>
      <c r="Q791" s="1"/>
      <c r="R791" s="1"/>
      <c r="S791" s="1"/>
      <c r="T791" s="1"/>
      <c r="U791" s="1"/>
    </row>
    <row r="792" spans="1:21" x14ac:dyDescent="0.25">
      <c r="A792" s="1"/>
      <c r="B792" s="1"/>
      <c r="C792" s="1"/>
      <c r="D792" s="1"/>
      <c r="E792" s="1"/>
      <c r="F792" s="1"/>
      <c r="G792" s="1"/>
      <c r="H792" s="1"/>
      <c r="I792" s="1"/>
      <c r="J792" s="1"/>
      <c r="K792" s="1"/>
      <c r="L792" s="1"/>
      <c r="M792" s="1"/>
      <c r="N792" s="1"/>
      <c r="O792" s="1"/>
      <c r="P792" s="1"/>
      <c r="Q792" s="1"/>
      <c r="R792" s="1"/>
      <c r="S792" s="1"/>
      <c r="T792" s="1"/>
      <c r="U792" s="1"/>
    </row>
    <row r="793" spans="1:21" x14ac:dyDescent="0.25">
      <c r="A793" s="1"/>
      <c r="B793" s="1"/>
      <c r="C793" s="1"/>
      <c r="D793" s="1"/>
      <c r="E793" s="1"/>
      <c r="F793" s="1"/>
      <c r="G793" s="1"/>
      <c r="H793" s="1"/>
      <c r="I793" s="1"/>
      <c r="J793" s="1"/>
      <c r="K793" s="1"/>
      <c r="L793" s="1"/>
      <c r="M793" s="1"/>
      <c r="N793" s="1"/>
      <c r="O793" s="1"/>
      <c r="P793" s="1"/>
      <c r="Q793" s="1"/>
      <c r="R793" s="1"/>
      <c r="S793" s="1"/>
      <c r="T793" s="1"/>
      <c r="U793" s="1"/>
    </row>
    <row r="794" spans="1:21" x14ac:dyDescent="0.25">
      <c r="A794" s="1"/>
      <c r="B794" s="1"/>
      <c r="C794" s="1"/>
      <c r="D794" s="1"/>
      <c r="E794" s="1"/>
      <c r="F794" s="1"/>
      <c r="G794" s="1"/>
      <c r="H794" s="1"/>
      <c r="I794" s="1"/>
      <c r="J794" s="1"/>
      <c r="K794" s="1"/>
      <c r="L794" s="1"/>
      <c r="M794" s="1"/>
      <c r="N794" s="1"/>
      <c r="O794" s="1"/>
      <c r="P794" s="1"/>
      <c r="Q794" s="1"/>
      <c r="R794" s="1"/>
      <c r="S794" s="1"/>
      <c r="T794" s="1"/>
      <c r="U794" s="1"/>
    </row>
    <row r="795" spans="1:21" x14ac:dyDescent="0.25">
      <c r="A795" s="1"/>
      <c r="B795" s="1"/>
      <c r="C795" s="1"/>
      <c r="D795" s="1"/>
      <c r="E795" s="1"/>
      <c r="F795" s="1"/>
      <c r="G795" s="1"/>
      <c r="H795" s="1"/>
      <c r="I795" s="1"/>
      <c r="J795" s="1"/>
      <c r="K795" s="1"/>
      <c r="L795" s="1"/>
      <c r="M795" s="1"/>
      <c r="N795" s="1"/>
      <c r="O795" s="1"/>
      <c r="P795" s="1"/>
      <c r="Q795" s="1"/>
      <c r="R795" s="1"/>
      <c r="S795" s="1"/>
      <c r="T795" s="1"/>
      <c r="U795" s="1"/>
    </row>
    <row r="796" spans="1:21" x14ac:dyDescent="0.25">
      <c r="A796" s="1"/>
      <c r="B796" s="1"/>
      <c r="C796" s="1"/>
      <c r="D796" s="1"/>
      <c r="E796" s="1"/>
      <c r="F796" s="1"/>
      <c r="G796" s="1"/>
      <c r="H796" s="1"/>
      <c r="I796" s="1"/>
      <c r="J796" s="1"/>
      <c r="K796" s="1"/>
      <c r="L796" s="1"/>
      <c r="M796" s="1"/>
      <c r="N796" s="1"/>
      <c r="O796" s="1"/>
      <c r="P796" s="1"/>
      <c r="Q796" s="1"/>
      <c r="R796" s="1"/>
      <c r="S796" s="1"/>
      <c r="T796" s="1"/>
      <c r="U796" s="1"/>
    </row>
    <row r="797" spans="1:21" x14ac:dyDescent="0.25">
      <c r="A797" s="1"/>
      <c r="B797" s="1"/>
      <c r="C797" s="1"/>
      <c r="D797" s="1"/>
      <c r="E797" s="1"/>
      <c r="F797" s="1"/>
      <c r="G797" s="1"/>
      <c r="H797" s="1"/>
      <c r="I797" s="1"/>
      <c r="J797" s="1"/>
      <c r="K797" s="1"/>
      <c r="L797" s="1"/>
      <c r="M797" s="1"/>
      <c r="N797" s="1"/>
      <c r="O797" s="1"/>
      <c r="P797" s="1"/>
      <c r="Q797" s="1"/>
      <c r="R797" s="1"/>
      <c r="S797" s="1"/>
      <c r="T797" s="1"/>
      <c r="U797" s="1"/>
    </row>
    <row r="798" spans="1:21" x14ac:dyDescent="0.25">
      <c r="A798" s="1"/>
      <c r="B798" s="1"/>
      <c r="C798" s="1"/>
      <c r="D798" s="1"/>
      <c r="E798" s="1"/>
      <c r="F798" s="1"/>
      <c r="G798" s="1"/>
      <c r="H798" s="1"/>
      <c r="I798" s="1"/>
      <c r="J798" s="1"/>
      <c r="K798" s="1"/>
      <c r="L798" s="1"/>
      <c r="M798" s="1"/>
      <c r="N798" s="1"/>
      <c r="O798" s="1"/>
      <c r="P798" s="1"/>
      <c r="Q798" s="1"/>
      <c r="R798" s="1"/>
      <c r="S798" s="1"/>
      <c r="T798" s="1"/>
      <c r="U798" s="1"/>
    </row>
    <row r="799" spans="1:21" x14ac:dyDescent="0.25">
      <c r="A799" s="1"/>
      <c r="B799" s="1"/>
      <c r="C799" s="1"/>
      <c r="D799" s="1"/>
      <c r="E799" s="1"/>
      <c r="F799" s="1"/>
      <c r="G799" s="1"/>
      <c r="H799" s="1"/>
      <c r="I799" s="1"/>
      <c r="J799" s="1"/>
      <c r="K799" s="1"/>
      <c r="L799" s="1"/>
      <c r="M799" s="1"/>
      <c r="N799" s="1"/>
      <c r="O799" s="1"/>
      <c r="P799" s="1"/>
      <c r="Q799" s="1"/>
      <c r="R799" s="1"/>
      <c r="S799" s="1"/>
      <c r="T799" s="1"/>
      <c r="U799" s="1"/>
    </row>
    <row r="800" spans="1:21" x14ac:dyDescent="0.25">
      <c r="A800" s="1"/>
      <c r="B800" s="1"/>
      <c r="C800" s="1"/>
      <c r="D800" s="1"/>
      <c r="E800" s="1"/>
      <c r="F800" s="1"/>
      <c r="G800" s="1"/>
      <c r="H800" s="1"/>
      <c r="I800" s="1"/>
      <c r="J800" s="1"/>
      <c r="K800" s="1"/>
      <c r="L800" s="1"/>
      <c r="M800" s="1"/>
      <c r="N800" s="1"/>
      <c r="O800" s="1"/>
      <c r="P800" s="1"/>
      <c r="Q800" s="1"/>
      <c r="R800" s="1"/>
      <c r="S800" s="1"/>
      <c r="T800" s="1"/>
      <c r="U800" s="1"/>
    </row>
    <row r="801" spans="1:21" x14ac:dyDescent="0.25">
      <c r="A801" s="1"/>
      <c r="B801" s="1"/>
      <c r="C801" s="1"/>
      <c r="D801" s="1"/>
      <c r="E801" s="1"/>
      <c r="F801" s="1"/>
      <c r="G801" s="1"/>
      <c r="H801" s="1"/>
      <c r="I801" s="1"/>
      <c r="J801" s="1"/>
      <c r="K801" s="1"/>
      <c r="L801" s="1"/>
      <c r="M801" s="1"/>
      <c r="N801" s="1"/>
      <c r="O801" s="1"/>
      <c r="P801" s="1"/>
      <c r="Q801" s="1"/>
      <c r="R801" s="1"/>
      <c r="S801" s="1"/>
      <c r="T801" s="1"/>
      <c r="U801" s="1"/>
    </row>
    <row r="802" spans="1:21" x14ac:dyDescent="0.25">
      <c r="A802" s="1"/>
      <c r="B802" s="1"/>
      <c r="C802" s="1"/>
      <c r="D802" s="1"/>
      <c r="E802" s="1"/>
      <c r="F802" s="1"/>
      <c r="G802" s="1"/>
      <c r="H802" s="1"/>
      <c r="I802" s="1"/>
      <c r="J802" s="1"/>
      <c r="K802" s="1"/>
      <c r="L802" s="1"/>
      <c r="M802" s="1"/>
      <c r="N802" s="1"/>
      <c r="O802" s="1"/>
      <c r="P802" s="1"/>
      <c r="Q802" s="1"/>
      <c r="R802" s="1"/>
      <c r="S802" s="1"/>
      <c r="T802" s="1"/>
      <c r="U802" s="1"/>
    </row>
    <row r="803" spans="1:21" x14ac:dyDescent="0.25">
      <c r="A803" s="1"/>
      <c r="B803" s="1"/>
      <c r="C803" s="1"/>
      <c r="D803" s="1"/>
      <c r="E803" s="1"/>
      <c r="F803" s="1"/>
      <c r="G803" s="1"/>
      <c r="H803" s="1"/>
      <c r="I803" s="1"/>
      <c r="J803" s="1"/>
      <c r="K803" s="1"/>
      <c r="L803" s="1"/>
      <c r="M803" s="1"/>
      <c r="N803" s="1"/>
      <c r="O803" s="1"/>
      <c r="P803" s="1"/>
      <c r="Q803" s="1"/>
      <c r="R803" s="1"/>
      <c r="S803" s="1"/>
      <c r="T803" s="1"/>
      <c r="U803" s="1"/>
    </row>
    <row r="804" spans="1:21" x14ac:dyDescent="0.25">
      <c r="A804" s="1"/>
      <c r="B804" s="1"/>
      <c r="C804" s="1"/>
      <c r="D804" s="1"/>
      <c r="E804" s="1"/>
      <c r="F804" s="1"/>
      <c r="G804" s="1"/>
      <c r="H804" s="1"/>
      <c r="I804" s="1"/>
      <c r="J804" s="1"/>
      <c r="K804" s="1"/>
      <c r="L804" s="1"/>
      <c r="M804" s="1"/>
      <c r="N804" s="1"/>
      <c r="O804" s="1"/>
      <c r="P804" s="1"/>
      <c r="Q804" s="1"/>
      <c r="R804" s="1"/>
      <c r="S804" s="1"/>
      <c r="T804" s="1"/>
      <c r="U804" s="1"/>
    </row>
    <row r="805" spans="1:21" x14ac:dyDescent="0.25">
      <c r="A805" s="1"/>
      <c r="B805" s="1"/>
      <c r="C805" s="1"/>
      <c r="D805" s="1"/>
      <c r="E805" s="1"/>
      <c r="F805" s="1"/>
      <c r="G805" s="1"/>
      <c r="H805" s="1"/>
      <c r="I805" s="1"/>
      <c r="J805" s="1"/>
      <c r="K805" s="1"/>
      <c r="L805" s="1"/>
      <c r="M805" s="1"/>
      <c r="N805" s="1"/>
      <c r="O805" s="1"/>
      <c r="P805" s="1"/>
      <c r="Q805" s="1"/>
      <c r="R805" s="1"/>
      <c r="S805" s="1"/>
      <c r="T805" s="1"/>
      <c r="U805" s="1"/>
    </row>
    <row r="806" spans="1:21" x14ac:dyDescent="0.25">
      <c r="A806" s="1"/>
      <c r="B806" s="1"/>
      <c r="C806" s="1"/>
      <c r="D806" s="1"/>
      <c r="E806" s="1"/>
      <c r="F806" s="1"/>
      <c r="G806" s="1"/>
      <c r="H806" s="1"/>
      <c r="I806" s="1"/>
      <c r="J806" s="1"/>
      <c r="K806" s="1"/>
      <c r="L806" s="1"/>
      <c r="M806" s="1"/>
      <c r="N806" s="1"/>
      <c r="O806" s="1"/>
      <c r="P806" s="1"/>
      <c r="Q806" s="1"/>
      <c r="R806" s="1"/>
      <c r="S806" s="1"/>
      <c r="T806" s="1"/>
      <c r="U806" s="1"/>
    </row>
    <row r="807" spans="1:21" x14ac:dyDescent="0.25">
      <c r="A807" s="1"/>
      <c r="B807" s="1"/>
      <c r="C807" s="1"/>
      <c r="D807" s="1"/>
      <c r="E807" s="1"/>
      <c r="F807" s="1"/>
      <c r="G807" s="1"/>
      <c r="H807" s="1"/>
      <c r="I807" s="1"/>
      <c r="J807" s="1"/>
      <c r="K807" s="1"/>
      <c r="L807" s="1"/>
      <c r="M807" s="1"/>
      <c r="N807" s="1"/>
      <c r="O807" s="1"/>
      <c r="P807" s="1"/>
      <c r="Q807" s="1"/>
      <c r="R807" s="1"/>
      <c r="S807" s="1"/>
      <c r="T807" s="1"/>
      <c r="U807" s="1"/>
    </row>
    <row r="808" spans="1:21" x14ac:dyDescent="0.25">
      <c r="A808" s="1"/>
      <c r="B808" s="1"/>
      <c r="C808" s="1"/>
      <c r="D808" s="1"/>
      <c r="E808" s="1"/>
      <c r="F808" s="1"/>
      <c r="G808" s="1"/>
      <c r="H808" s="1"/>
      <c r="I808" s="1"/>
      <c r="J808" s="1"/>
      <c r="K808" s="1"/>
      <c r="L808" s="1"/>
      <c r="M808" s="1"/>
      <c r="N808" s="1"/>
      <c r="O808" s="1"/>
      <c r="P808" s="1"/>
      <c r="Q808" s="1"/>
      <c r="R808" s="1"/>
      <c r="S808" s="1"/>
      <c r="T808" s="1"/>
      <c r="U808" s="1"/>
    </row>
    <row r="809" spans="1:21" x14ac:dyDescent="0.25">
      <c r="A809" s="1"/>
      <c r="B809" s="1"/>
      <c r="C809" s="1"/>
      <c r="D809" s="1"/>
      <c r="E809" s="1"/>
      <c r="F809" s="1"/>
      <c r="G809" s="1"/>
      <c r="H809" s="1"/>
      <c r="I809" s="1"/>
      <c r="J809" s="1"/>
      <c r="K809" s="1"/>
      <c r="L809" s="1"/>
      <c r="M809" s="1"/>
      <c r="N809" s="1"/>
      <c r="O809" s="1"/>
      <c r="P809" s="1"/>
      <c r="Q809" s="1"/>
      <c r="R809" s="1"/>
      <c r="S809" s="1"/>
      <c r="T809" s="1"/>
      <c r="U809" s="1"/>
    </row>
    <row r="810" spans="1:21" x14ac:dyDescent="0.25">
      <c r="A810" s="1"/>
      <c r="B810" s="1"/>
      <c r="C810" s="1"/>
      <c r="D810" s="1"/>
      <c r="E810" s="1"/>
      <c r="F810" s="1"/>
      <c r="G810" s="1"/>
      <c r="H810" s="1"/>
      <c r="I810" s="1"/>
      <c r="J810" s="1"/>
      <c r="K810" s="1"/>
      <c r="L810" s="1"/>
      <c r="M810" s="1"/>
      <c r="N810" s="1"/>
      <c r="O810" s="1"/>
      <c r="P810" s="1"/>
      <c r="Q810" s="1"/>
      <c r="R810" s="1"/>
      <c r="S810" s="1"/>
      <c r="T810" s="1"/>
      <c r="U810" s="1"/>
    </row>
    <row r="811" spans="1:21" x14ac:dyDescent="0.25">
      <c r="A811" s="1"/>
      <c r="B811" s="1"/>
      <c r="C811" s="1"/>
      <c r="D811" s="1"/>
      <c r="E811" s="1"/>
      <c r="F811" s="1"/>
      <c r="G811" s="1"/>
      <c r="H811" s="1"/>
      <c r="I811" s="1"/>
      <c r="J811" s="1"/>
      <c r="K811" s="1"/>
      <c r="L811" s="1"/>
      <c r="M811" s="1"/>
      <c r="N811" s="1"/>
      <c r="O811" s="1"/>
      <c r="P811" s="1"/>
      <c r="Q811" s="1"/>
      <c r="R811" s="1"/>
      <c r="S811" s="1"/>
      <c r="T811" s="1"/>
      <c r="U811" s="1"/>
    </row>
    <row r="812" spans="1:21" x14ac:dyDescent="0.25">
      <c r="A812" s="1"/>
      <c r="B812" s="1"/>
      <c r="C812" s="1"/>
      <c r="D812" s="1"/>
      <c r="E812" s="1"/>
      <c r="F812" s="1"/>
      <c r="G812" s="1"/>
      <c r="H812" s="1"/>
      <c r="I812" s="1"/>
      <c r="J812" s="1"/>
      <c r="K812" s="1"/>
      <c r="L812" s="1"/>
      <c r="M812" s="1"/>
      <c r="N812" s="1"/>
      <c r="O812" s="1"/>
      <c r="P812" s="1"/>
      <c r="Q812" s="1"/>
      <c r="R812" s="1"/>
      <c r="S812" s="1"/>
      <c r="T812" s="1"/>
      <c r="U812" s="1"/>
    </row>
    <row r="813" spans="1:21" x14ac:dyDescent="0.25">
      <c r="A813" s="1"/>
      <c r="B813" s="1"/>
      <c r="C813" s="1"/>
      <c r="D813" s="1"/>
      <c r="E813" s="1"/>
      <c r="F813" s="1"/>
      <c r="G813" s="1"/>
      <c r="H813" s="1"/>
      <c r="I813" s="1"/>
      <c r="J813" s="1"/>
      <c r="K813" s="1"/>
      <c r="L813" s="1"/>
      <c r="M813" s="1"/>
      <c r="N813" s="1"/>
      <c r="O813" s="1"/>
      <c r="P813" s="1"/>
      <c r="Q813" s="1"/>
      <c r="R813" s="1"/>
      <c r="S813" s="1"/>
      <c r="T813" s="1"/>
      <c r="U813" s="1"/>
    </row>
    <row r="814" spans="1:21" x14ac:dyDescent="0.25">
      <c r="A814" s="1"/>
      <c r="B814" s="1"/>
      <c r="C814" s="1"/>
      <c r="D814" s="1"/>
      <c r="E814" s="1"/>
      <c r="F814" s="1"/>
      <c r="G814" s="1"/>
      <c r="H814" s="1"/>
      <c r="I814" s="1"/>
      <c r="J814" s="1"/>
      <c r="K814" s="1"/>
      <c r="L814" s="1"/>
      <c r="M814" s="1"/>
      <c r="N814" s="1"/>
      <c r="O814" s="1"/>
      <c r="P814" s="1"/>
      <c r="Q814" s="1"/>
      <c r="R814" s="1"/>
      <c r="S814" s="1"/>
      <c r="T814" s="1"/>
      <c r="U814" s="1"/>
    </row>
    <row r="815" spans="1:21" x14ac:dyDescent="0.25">
      <c r="A815" s="1"/>
      <c r="B815" s="1"/>
      <c r="C815" s="1"/>
      <c r="D815" s="1"/>
      <c r="E815" s="1"/>
      <c r="F815" s="1"/>
      <c r="G815" s="1"/>
      <c r="H815" s="1"/>
      <c r="I815" s="1"/>
      <c r="J815" s="1"/>
      <c r="K815" s="1"/>
      <c r="L815" s="1"/>
      <c r="M815" s="1"/>
      <c r="N815" s="1"/>
      <c r="O815" s="1"/>
      <c r="P815" s="1"/>
      <c r="Q815" s="1"/>
      <c r="R815" s="1"/>
      <c r="S815" s="1"/>
      <c r="T815" s="1"/>
      <c r="U815" s="1"/>
    </row>
    <row r="816" spans="1:21" x14ac:dyDescent="0.25">
      <c r="A816" s="1"/>
      <c r="B816" s="1"/>
      <c r="C816" s="1"/>
      <c r="D816" s="1"/>
      <c r="E816" s="1"/>
      <c r="F816" s="1"/>
      <c r="G816" s="1"/>
      <c r="H816" s="1"/>
      <c r="I816" s="1"/>
      <c r="J816" s="1"/>
      <c r="K816" s="1"/>
      <c r="L816" s="1"/>
      <c r="M816" s="1"/>
      <c r="N816" s="1"/>
      <c r="O816" s="1"/>
      <c r="P816" s="1"/>
      <c r="Q816" s="1"/>
      <c r="R816" s="1"/>
      <c r="S816" s="1"/>
      <c r="T816" s="1"/>
      <c r="U816" s="1"/>
    </row>
    <row r="817" spans="1:21" x14ac:dyDescent="0.25">
      <c r="A817" s="1"/>
      <c r="B817" s="1"/>
      <c r="C817" s="1"/>
      <c r="D817" s="1"/>
      <c r="E817" s="1"/>
      <c r="F817" s="1"/>
      <c r="G817" s="1"/>
      <c r="H817" s="1"/>
      <c r="I817" s="1"/>
      <c r="J817" s="1"/>
      <c r="K817" s="1"/>
      <c r="L817" s="1"/>
      <c r="M817" s="1"/>
      <c r="N817" s="1"/>
      <c r="O817" s="1"/>
      <c r="P817" s="1"/>
      <c r="Q817" s="1"/>
      <c r="R817" s="1"/>
      <c r="S817" s="1"/>
      <c r="T817" s="1"/>
      <c r="U817" s="1"/>
    </row>
    <row r="818" spans="1:21" x14ac:dyDescent="0.25">
      <c r="A818" s="1"/>
      <c r="B818" s="1"/>
      <c r="C818" s="1"/>
      <c r="D818" s="1"/>
      <c r="E818" s="1"/>
      <c r="F818" s="1"/>
      <c r="G818" s="1"/>
      <c r="H818" s="1"/>
      <c r="I818" s="1"/>
      <c r="J818" s="1"/>
      <c r="K818" s="1"/>
      <c r="L818" s="1"/>
      <c r="M818" s="1"/>
      <c r="N818" s="1"/>
      <c r="O818" s="1"/>
      <c r="P818" s="1"/>
      <c r="Q818" s="1"/>
      <c r="R818" s="1"/>
      <c r="S818" s="1"/>
      <c r="T818" s="1"/>
      <c r="U818" s="1"/>
    </row>
    <row r="819" spans="1:21" x14ac:dyDescent="0.25">
      <c r="A819" s="1"/>
      <c r="B819" s="1"/>
      <c r="C819" s="1"/>
      <c r="D819" s="1"/>
      <c r="E819" s="1"/>
      <c r="F819" s="1"/>
      <c r="G819" s="1"/>
      <c r="H819" s="1"/>
      <c r="I819" s="1"/>
      <c r="J819" s="1"/>
      <c r="K819" s="1"/>
      <c r="L819" s="1"/>
      <c r="M819" s="1"/>
      <c r="N819" s="1"/>
      <c r="O819" s="1"/>
      <c r="P819" s="1"/>
      <c r="Q819" s="1"/>
      <c r="R819" s="1"/>
      <c r="S819" s="1"/>
      <c r="T819" s="1"/>
      <c r="U819" s="1"/>
    </row>
    <row r="820" spans="1:21" x14ac:dyDescent="0.25">
      <c r="A820" s="1"/>
      <c r="B820" s="1"/>
      <c r="C820" s="1"/>
      <c r="D820" s="1"/>
      <c r="E820" s="1"/>
      <c r="F820" s="1"/>
      <c r="G820" s="1"/>
      <c r="H820" s="1"/>
      <c r="I820" s="1"/>
      <c r="J820" s="1"/>
      <c r="K820" s="1"/>
      <c r="L820" s="1"/>
      <c r="M820" s="1"/>
      <c r="N820" s="1"/>
      <c r="O820" s="1"/>
      <c r="P820" s="1"/>
      <c r="Q820" s="1"/>
      <c r="R820" s="1"/>
      <c r="S820" s="1"/>
      <c r="T820" s="1"/>
      <c r="U820" s="1"/>
    </row>
    <row r="821" spans="1:21" x14ac:dyDescent="0.25">
      <c r="A821" s="1"/>
      <c r="B821" s="1"/>
      <c r="C821" s="1"/>
      <c r="D821" s="1"/>
      <c r="E821" s="1"/>
      <c r="F821" s="1"/>
      <c r="G821" s="1"/>
      <c r="H821" s="1"/>
      <c r="I821" s="1"/>
      <c r="J821" s="1"/>
      <c r="K821" s="1"/>
      <c r="L821" s="1"/>
      <c r="M821" s="1"/>
      <c r="N821" s="1"/>
      <c r="O821" s="1"/>
      <c r="P821" s="1"/>
      <c r="Q821" s="1"/>
      <c r="R821" s="1"/>
      <c r="S821" s="1"/>
      <c r="T821" s="1"/>
      <c r="U821" s="1"/>
    </row>
    <row r="822" spans="1:21" x14ac:dyDescent="0.25">
      <c r="A822" s="1"/>
      <c r="B822" s="1"/>
      <c r="C822" s="1"/>
      <c r="D822" s="1"/>
      <c r="E822" s="1"/>
      <c r="F822" s="1"/>
      <c r="G822" s="1"/>
      <c r="H822" s="1"/>
      <c r="I822" s="1"/>
      <c r="J822" s="1"/>
      <c r="K822" s="1"/>
      <c r="L822" s="1"/>
      <c r="M822" s="1"/>
      <c r="N822" s="1"/>
      <c r="O822" s="1"/>
      <c r="P822" s="1"/>
      <c r="Q822" s="1"/>
      <c r="R822" s="1"/>
      <c r="S822" s="1"/>
      <c r="T822" s="1"/>
      <c r="U822" s="1"/>
    </row>
    <row r="823" spans="1:21" x14ac:dyDescent="0.25">
      <c r="A823" s="1"/>
      <c r="B823" s="1"/>
      <c r="C823" s="1"/>
      <c r="D823" s="1"/>
      <c r="E823" s="1"/>
      <c r="F823" s="1"/>
      <c r="G823" s="1"/>
      <c r="H823" s="1"/>
      <c r="I823" s="1"/>
      <c r="J823" s="1"/>
      <c r="K823" s="1"/>
      <c r="L823" s="1"/>
      <c r="M823" s="1"/>
      <c r="N823" s="1"/>
      <c r="O823" s="1"/>
      <c r="P823" s="1"/>
      <c r="Q823" s="1"/>
      <c r="R823" s="1"/>
      <c r="S823" s="1"/>
      <c r="T823" s="1"/>
      <c r="U823" s="1"/>
    </row>
    <row r="824" spans="1:21" x14ac:dyDescent="0.25">
      <c r="A824" s="1"/>
      <c r="B824" s="1"/>
      <c r="C824" s="1"/>
      <c r="D824" s="1"/>
      <c r="E824" s="1"/>
      <c r="F824" s="1"/>
      <c r="G824" s="1"/>
      <c r="H824" s="1"/>
      <c r="I824" s="1"/>
      <c r="J824" s="1"/>
      <c r="K824" s="1"/>
      <c r="L824" s="1"/>
      <c r="M824" s="1"/>
      <c r="N824" s="1"/>
      <c r="O824" s="1"/>
      <c r="P824" s="1"/>
      <c r="Q824" s="1"/>
      <c r="R824" s="1"/>
      <c r="S824" s="1"/>
      <c r="T824" s="1"/>
      <c r="U824" s="1"/>
    </row>
    <row r="825" spans="1:21" x14ac:dyDescent="0.25">
      <c r="A825" s="1"/>
      <c r="B825" s="1"/>
      <c r="C825" s="1"/>
      <c r="D825" s="1"/>
      <c r="E825" s="1"/>
      <c r="F825" s="1"/>
      <c r="G825" s="1"/>
      <c r="H825" s="1"/>
      <c r="I825" s="1"/>
      <c r="J825" s="1"/>
      <c r="K825" s="1"/>
      <c r="L825" s="1"/>
      <c r="M825" s="1"/>
      <c r="N825" s="1"/>
      <c r="O825" s="1"/>
      <c r="P825" s="1"/>
      <c r="Q825" s="1"/>
      <c r="R825" s="1"/>
      <c r="S825" s="1"/>
      <c r="T825" s="1"/>
      <c r="U825" s="1"/>
    </row>
    <row r="826" spans="1:21" x14ac:dyDescent="0.25">
      <c r="A826" s="1"/>
      <c r="B826" s="1"/>
      <c r="C826" s="1"/>
      <c r="D826" s="1"/>
      <c r="E826" s="1"/>
      <c r="F826" s="1"/>
      <c r="G826" s="1"/>
      <c r="H826" s="1"/>
      <c r="I826" s="1"/>
      <c r="J826" s="1"/>
      <c r="K826" s="1"/>
      <c r="L826" s="1"/>
      <c r="M826" s="1"/>
      <c r="N826" s="1"/>
      <c r="O826" s="1"/>
      <c r="P826" s="1"/>
      <c r="Q826" s="1"/>
      <c r="R826" s="1"/>
      <c r="S826" s="1"/>
      <c r="T826" s="1"/>
      <c r="U826" s="1"/>
    </row>
    <row r="827" spans="1:21" x14ac:dyDescent="0.25">
      <c r="A827" s="1"/>
      <c r="B827" s="1"/>
      <c r="C827" s="1"/>
      <c r="D827" s="1"/>
      <c r="E827" s="1"/>
      <c r="F827" s="1"/>
      <c r="G827" s="1"/>
      <c r="H827" s="1"/>
      <c r="I827" s="1"/>
      <c r="J827" s="1"/>
      <c r="K827" s="1"/>
      <c r="L827" s="1"/>
      <c r="M827" s="1"/>
      <c r="N827" s="1"/>
      <c r="O827" s="1"/>
      <c r="P827" s="1"/>
      <c r="Q827" s="1"/>
      <c r="R827" s="1"/>
      <c r="S827" s="1"/>
      <c r="T827" s="1"/>
      <c r="U827" s="1"/>
    </row>
    <row r="828" spans="1:21" x14ac:dyDescent="0.25">
      <c r="A828" s="1"/>
      <c r="B828" s="1"/>
      <c r="C828" s="1"/>
      <c r="D828" s="1"/>
      <c r="E828" s="1"/>
      <c r="F828" s="1"/>
      <c r="G828" s="1"/>
      <c r="H828" s="1"/>
      <c r="I828" s="1"/>
      <c r="J828" s="1"/>
      <c r="K828" s="1"/>
      <c r="L828" s="1"/>
      <c r="M828" s="1"/>
      <c r="N828" s="1"/>
      <c r="O828" s="1"/>
      <c r="P828" s="1"/>
      <c r="Q828" s="1"/>
      <c r="R828" s="1"/>
      <c r="S828" s="1"/>
      <c r="T828" s="1"/>
      <c r="U828" s="1"/>
    </row>
    <row r="829" spans="1:21" x14ac:dyDescent="0.25">
      <c r="A829" s="1"/>
      <c r="B829" s="1"/>
      <c r="C829" s="1"/>
      <c r="D829" s="1"/>
      <c r="E829" s="1"/>
      <c r="F829" s="1"/>
      <c r="G829" s="1"/>
      <c r="H829" s="1"/>
      <c r="I829" s="1"/>
      <c r="J829" s="1"/>
      <c r="K829" s="1"/>
      <c r="L829" s="1"/>
      <c r="M829" s="1"/>
      <c r="N829" s="1"/>
      <c r="O829" s="1"/>
      <c r="P829" s="1"/>
      <c r="Q829" s="1"/>
      <c r="R829" s="1"/>
      <c r="S829" s="1"/>
      <c r="T829" s="1"/>
      <c r="U829" s="1"/>
    </row>
    <row r="830" spans="1:21" x14ac:dyDescent="0.25">
      <c r="A830" s="1"/>
      <c r="B830" s="1"/>
      <c r="C830" s="1"/>
      <c r="D830" s="1"/>
      <c r="E830" s="1"/>
      <c r="F830" s="1"/>
      <c r="G830" s="1"/>
      <c r="H830" s="1"/>
      <c r="I830" s="1"/>
      <c r="J830" s="1"/>
      <c r="K830" s="1"/>
      <c r="L830" s="1"/>
      <c r="M830" s="1"/>
      <c r="N830" s="1"/>
      <c r="O830" s="1"/>
      <c r="P830" s="1"/>
      <c r="Q830" s="1"/>
      <c r="R830" s="1"/>
      <c r="S830" s="1"/>
      <c r="T830" s="1"/>
      <c r="U830" s="1"/>
    </row>
    <row r="831" spans="1:21" x14ac:dyDescent="0.25">
      <c r="A831" s="1"/>
      <c r="B831" s="1"/>
      <c r="C831" s="1"/>
      <c r="D831" s="1"/>
      <c r="E831" s="1"/>
      <c r="F831" s="1"/>
      <c r="G831" s="1"/>
      <c r="H831" s="1"/>
      <c r="I831" s="1"/>
      <c r="J831" s="1"/>
      <c r="K831" s="1"/>
      <c r="L831" s="1"/>
      <c r="M831" s="1"/>
      <c r="N831" s="1"/>
      <c r="O831" s="1"/>
      <c r="P831" s="1"/>
      <c r="Q831" s="1"/>
      <c r="R831" s="1"/>
      <c r="S831" s="1"/>
      <c r="T831" s="1"/>
      <c r="U831" s="1"/>
    </row>
    <row r="832" spans="1:21" x14ac:dyDescent="0.25">
      <c r="A832" s="1"/>
      <c r="B832" s="1"/>
      <c r="C832" s="1"/>
      <c r="D832" s="1"/>
      <c r="E832" s="1"/>
      <c r="F832" s="1"/>
      <c r="G832" s="1"/>
      <c r="H832" s="1"/>
      <c r="I832" s="1"/>
      <c r="J832" s="1"/>
      <c r="K832" s="1"/>
      <c r="L832" s="1"/>
      <c r="M832" s="1"/>
      <c r="N832" s="1"/>
      <c r="O832" s="1"/>
      <c r="P832" s="1"/>
      <c r="Q832" s="1"/>
      <c r="R832" s="1"/>
      <c r="S832" s="1"/>
      <c r="T832" s="1"/>
      <c r="U832" s="1"/>
    </row>
    <row r="833" spans="1:21" x14ac:dyDescent="0.25">
      <c r="A833" s="1"/>
      <c r="B833" s="1"/>
      <c r="C833" s="1"/>
      <c r="D833" s="1"/>
      <c r="E833" s="1"/>
      <c r="F833" s="1"/>
      <c r="G833" s="1"/>
      <c r="H833" s="1"/>
      <c r="I833" s="1"/>
      <c r="J833" s="1"/>
      <c r="K833" s="1"/>
      <c r="L833" s="1"/>
      <c r="M833" s="1"/>
      <c r="N833" s="1"/>
      <c r="O833" s="1"/>
      <c r="P833" s="1"/>
      <c r="Q833" s="1"/>
      <c r="R833" s="1"/>
      <c r="S833" s="1"/>
      <c r="T833" s="1"/>
      <c r="U833" s="1"/>
    </row>
    <row r="834" spans="1:21" x14ac:dyDescent="0.25">
      <c r="A834" s="1"/>
      <c r="B834" s="1"/>
      <c r="C834" s="1"/>
      <c r="D834" s="1"/>
      <c r="E834" s="1"/>
      <c r="F834" s="1"/>
      <c r="G834" s="1"/>
      <c r="H834" s="1"/>
      <c r="I834" s="1"/>
      <c r="J834" s="1"/>
      <c r="K834" s="1"/>
      <c r="L834" s="1"/>
      <c r="M834" s="1"/>
      <c r="N834" s="1"/>
      <c r="O834" s="1"/>
      <c r="P834" s="1"/>
      <c r="Q834" s="1"/>
      <c r="R834" s="1"/>
      <c r="S834" s="1"/>
      <c r="T834" s="1"/>
      <c r="U834" s="1"/>
    </row>
    <row r="835" spans="1:21" x14ac:dyDescent="0.25">
      <c r="A835" s="1"/>
      <c r="B835" s="1"/>
      <c r="C835" s="1"/>
      <c r="D835" s="1"/>
      <c r="E835" s="1"/>
      <c r="F835" s="1"/>
      <c r="G835" s="1"/>
      <c r="H835" s="1"/>
      <c r="I835" s="1"/>
      <c r="J835" s="1"/>
      <c r="K835" s="1"/>
      <c r="L835" s="1"/>
      <c r="M835" s="1"/>
      <c r="N835" s="1"/>
      <c r="O835" s="1"/>
      <c r="P835" s="1"/>
      <c r="Q835" s="1"/>
      <c r="R835" s="1"/>
      <c r="S835" s="1"/>
      <c r="T835" s="1"/>
      <c r="U835" s="1"/>
    </row>
    <row r="836" spans="1:21" x14ac:dyDescent="0.25">
      <c r="A836" s="1"/>
      <c r="B836" s="1"/>
      <c r="C836" s="1"/>
      <c r="D836" s="1"/>
      <c r="E836" s="1"/>
      <c r="F836" s="1"/>
      <c r="G836" s="1"/>
      <c r="H836" s="1"/>
      <c r="I836" s="1"/>
      <c r="J836" s="1"/>
      <c r="K836" s="1"/>
      <c r="L836" s="1"/>
      <c r="M836" s="1"/>
      <c r="N836" s="1"/>
      <c r="O836" s="1"/>
      <c r="P836" s="1"/>
      <c r="Q836" s="1"/>
      <c r="R836" s="1"/>
      <c r="S836" s="1"/>
      <c r="T836" s="1"/>
      <c r="U836" s="1"/>
    </row>
    <row r="837" spans="1:21" x14ac:dyDescent="0.25">
      <c r="A837" s="1"/>
      <c r="B837" s="1"/>
      <c r="C837" s="1"/>
      <c r="D837" s="1"/>
      <c r="E837" s="1"/>
      <c r="F837" s="1"/>
      <c r="G837" s="1"/>
      <c r="H837" s="1"/>
      <c r="I837" s="1"/>
      <c r="J837" s="1"/>
      <c r="K837" s="1"/>
      <c r="L837" s="1"/>
      <c r="M837" s="1"/>
      <c r="N837" s="1"/>
      <c r="O837" s="1"/>
      <c r="P837" s="1"/>
      <c r="Q837" s="1"/>
      <c r="R837" s="1"/>
      <c r="S837" s="1"/>
      <c r="T837" s="1"/>
      <c r="U837" s="1"/>
    </row>
    <row r="838" spans="1:21" x14ac:dyDescent="0.25">
      <c r="A838" s="1"/>
      <c r="B838" s="1"/>
      <c r="C838" s="1"/>
      <c r="D838" s="1"/>
      <c r="E838" s="1"/>
      <c r="F838" s="1"/>
      <c r="G838" s="1"/>
      <c r="H838" s="1"/>
      <c r="I838" s="1"/>
      <c r="J838" s="1"/>
      <c r="K838" s="1"/>
      <c r="L838" s="1"/>
      <c r="M838" s="1"/>
      <c r="N838" s="1"/>
      <c r="O838" s="1"/>
      <c r="P838" s="1"/>
      <c r="Q838" s="1"/>
      <c r="R838" s="1"/>
      <c r="S838" s="1"/>
      <c r="T838" s="1"/>
      <c r="U838" s="1"/>
    </row>
    <row r="839" spans="1:21" x14ac:dyDescent="0.25">
      <c r="A839" s="1"/>
      <c r="B839" s="1"/>
      <c r="C839" s="1"/>
      <c r="D839" s="1"/>
      <c r="E839" s="1"/>
      <c r="F839" s="1"/>
      <c r="G839" s="1"/>
      <c r="H839" s="1"/>
      <c r="I839" s="1"/>
      <c r="J839" s="1"/>
      <c r="K839" s="1"/>
      <c r="L839" s="1"/>
      <c r="M839" s="1"/>
      <c r="N839" s="1"/>
      <c r="O839" s="1"/>
      <c r="P839" s="1"/>
      <c r="Q839" s="1"/>
      <c r="R839" s="1"/>
      <c r="S839" s="1"/>
      <c r="T839" s="1"/>
      <c r="U839" s="1"/>
    </row>
    <row r="840" spans="1:21" x14ac:dyDescent="0.25">
      <c r="A840" s="1"/>
      <c r="B840" s="1"/>
      <c r="C840" s="1"/>
      <c r="D840" s="1"/>
      <c r="E840" s="1"/>
      <c r="F840" s="1"/>
      <c r="G840" s="1"/>
      <c r="H840" s="1"/>
      <c r="I840" s="1"/>
      <c r="J840" s="1"/>
      <c r="K840" s="1"/>
      <c r="L840" s="1"/>
      <c r="M840" s="1"/>
      <c r="N840" s="1"/>
      <c r="O840" s="1"/>
      <c r="P840" s="1"/>
      <c r="Q840" s="1"/>
      <c r="R840" s="1"/>
      <c r="S840" s="1"/>
      <c r="T840" s="1"/>
      <c r="U840" s="1"/>
    </row>
    <row r="841" spans="1:21" x14ac:dyDescent="0.25">
      <c r="A841" s="1"/>
      <c r="B841" s="1"/>
      <c r="C841" s="1"/>
      <c r="D841" s="1"/>
      <c r="E841" s="1"/>
      <c r="F841" s="1"/>
      <c r="G841" s="1"/>
      <c r="H841" s="1"/>
      <c r="I841" s="1"/>
      <c r="J841" s="1"/>
      <c r="K841" s="1"/>
      <c r="L841" s="1"/>
      <c r="M841" s="1"/>
      <c r="N841" s="1"/>
      <c r="O841" s="1"/>
      <c r="P841" s="1"/>
      <c r="Q841" s="1"/>
      <c r="R841" s="1"/>
      <c r="S841" s="1"/>
      <c r="T841" s="1"/>
      <c r="U841" s="1"/>
    </row>
    <row r="842" spans="1:21" x14ac:dyDescent="0.25">
      <c r="A842" s="1"/>
      <c r="B842" s="1"/>
      <c r="C842" s="1"/>
      <c r="D842" s="1"/>
      <c r="E842" s="1"/>
      <c r="F842" s="1"/>
      <c r="G842" s="1"/>
      <c r="H842" s="1"/>
      <c r="I842" s="1"/>
      <c r="J842" s="1"/>
      <c r="K842" s="1"/>
      <c r="L842" s="1"/>
      <c r="M842" s="1"/>
      <c r="N842" s="1"/>
      <c r="O842" s="1"/>
      <c r="P842" s="1"/>
      <c r="Q842" s="1"/>
      <c r="R842" s="1"/>
      <c r="S842" s="1"/>
      <c r="T842" s="1"/>
      <c r="U842" s="1"/>
    </row>
    <row r="843" spans="1:21" x14ac:dyDescent="0.25">
      <c r="A843" s="1"/>
      <c r="B843" s="1"/>
      <c r="C843" s="1"/>
      <c r="D843" s="1"/>
      <c r="E843" s="1"/>
      <c r="F843" s="1"/>
      <c r="G843" s="1"/>
      <c r="H843" s="1"/>
      <c r="I843" s="1"/>
      <c r="J843" s="1"/>
      <c r="K843" s="1"/>
      <c r="L843" s="1"/>
      <c r="M843" s="1"/>
      <c r="N843" s="1"/>
      <c r="O843" s="1"/>
      <c r="P843" s="1"/>
      <c r="Q843" s="1"/>
      <c r="R843" s="1"/>
      <c r="S843" s="1"/>
      <c r="T843" s="1"/>
      <c r="U843" s="1"/>
    </row>
    <row r="844" spans="1:21" x14ac:dyDescent="0.25">
      <c r="A844" s="1"/>
      <c r="B844" s="1"/>
      <c r="C844" s="1"/>
      <c r="D844" s="1"/>
      <c r="E844" s="1"/>
      <c r="F844" s="1"/>
      <c r="G844" s="1"/>
      <c r="H844" s="1"/>
      <c r="I844" s="1"/>
      <c r="J844" s="1"/>
      <c r="K844" s="1"/>
      <c r="L844" s="1"/>
      <c r="M844" s="1"/>
      <c r="N844" s="1"/>
      <c r="O844" s="1"/>
      <c r="P844" s="1"/>
      <c r="Q844" s="1"/>
      <c r="R844" s="1"/>
      <c r="S844" s="1"/>
      <c r="T844" s="1"/>
      <c r="U844" s="1"/>
    </row>
    <row r="845" spans="1:21" x14ac:dyDescent="0.25">
      <c r="A845" s="1"/>
      <c r="B845" s="1"/>
      <c r="C845" s="1"/>
      <c r="D845" s="1"/>
      <c r="E845" s="1"/>
      <c r="F845" s="1"/>
      <c r="G845" s="1"/>
      <c r="H845" s="1"/>
      <c r="I845" s="1"/>
      <c r="J845" s="1"/>
      <c r="K845" s="1"/>
      <c r="L845" s="1"/>
      <c r="M845" s="1"/>
      <c r="N845" s="1"/>
      <c r="O845" s="1"/>
      <c r="P845" s="1"/>
      <c r="Q845" s="1"/>
      <c r="R845" s="1"/>
      <c r="S845" s="1"/>
      <c r="T845" s="1"/>
      <c r="U845" s="1"/>
    </row>
    <row r="846" spans="1:21" x14ac:dyDescent="0.25">
      <c r="A846" s="1"/>
      <c r="B846" s="1"/>
      <c r="C846" s="1"/>
      <c r="D846" s="1"/>
      <c r="E846" s="1"/>
      <c r="F846" s="1"/>
      <c r="G846" s="1"/>
      <c r="H846" s="1"/>
      <c r="I846" s="1"/>
      <c r="J846" s="1"/>
      <c r="K846" s="1"/>
      <c r="L846" s="1"/>
      <c r="M846" s="1"/>
      <c r="N846" s="1"/>
      <c r="O846" s="1"/>
      <c r="P846" s="1"/>
      <c r="Q846" s="1"/>
      <c r="R846" s="1"/>
      <c r="S846" s="1"/>
      <c r="T846" s="1"/>
      <c r="U846" s="1"/>
    </row>
    <row r="847" spans="1:21" x14ac:dyDescent="0.25">
      <c r="A847" s="1"/>
      <c r="B847" s="1"/>
      <c r="C847" s="1"/>
      <c r="D847" s="1"/>
      <c r="E847" s="1"/>
      <c r="F847" s="1"/>
      <c r="G847" s="1"/>
      <c r="H847" s="1"/>
      <c r="I847" s="1"/>
      <c r="J847" s="1"/>
      <c r="K847" s="1"/>
      <c r="L847" s="1"/>
      <c r="M847" s="1"/>
      <c r="N847" s="1"/>
      <c r="O847" s="1"/>
      <c r="P847" s="1"/>
      <c r="Q847" s="1"/>
      <c r="R847" s="1"/>
      <c r="S847" s="1"/>
      <c r="T847" s="1"/>
      <c r="U847" s="1"/>
    </row>
    <row r="848" spans="1:21" x14ac:dyDescent="0.25">
      <c r="A848" s="1"/>
      <c r="B848" s="1"/>
      <c r="C848" s="1"/>
      <c r="D848" s="1"/>
      <c r="E848" s="1"/>
      <c r="F848" s="1"/>
      <c r="G848" s="1"/>
      <c r="H848" s="1"/>
      <c r="I848" s="1"/>
      <c r="J848" s="1"/>
      <c r="K848" s="1"/>
      <c r="L848" s="1"/>
      <c r="M848" s="1"/>
      <c r="N848" s="1"/>
      <c r="O848" s="1"/>
      <c r="P848" s="1"/>
      <c r="Q848" s="1"/>
      <c r="R848" s="1"/>
      <c r="S848" s="1"/>
      <c r="T848" s="1"/>
      <c r="U848" s="1"/>
    </row>
    <row r="849" spans="1:21" x14ac:dyDescent="0.25">
      <c r="A849" s="1"/>
      <c r="B849" s="1"/>
      <c r="C849" s="1"/>
      <c r="D849" s="1"/>
      <c r="E849" s="1"/>
      <c r="F849" s="1"/>
      <c r="G849" s="1"/>
      <c r="H849" s="1"/>
      <c r="I849" s="1"/>
      <c r="J849" s="1"/>
      <c r="K849" s="1"/>
      <c r="L849" s="1"/>
      <c r="M849" s="1"/>
      <c r="N849" s="1"/>
      <c r="O849" s="1"/>
      <c r="P849" s="1"/>
      <c r="Q849" s="1"/>
      <c r="R849" s="1"/>
      <c r="S849" s="1"/>
      <c r="T849" s="1"/>
      <c r="U849" s="1"/>
    </row>
    <row r="850" spans="1:21" x14ac:dyDescent="0.25">
      <c r="A850" s="1"/>
      <c r="B850" s="1"/>
      <c r="C850" s="1"/>
      <c r="D850" s="1"/>
      <c r="E850" s="1"/>
      <c r="F850" s="1"/>
      <c r="G850" s="1"/>
      <c r="H850" s="1"/>
      <c r="I850" s="1"/>
      <c r="J850" s="1"/>
      <c r="K850" s="1"/>
      <c r="L850" s="1"/>
      <c r="M850" s="1"/>
      <c r="N850" s="1"/>
      <c r="O850" s="1"/>
      <c r="P850" s="1"/>
      <c r="Q850" s="1"/>
      <c r="R850" s="1"/>
      <c r="S850" s="1"/>
      <c r="T850" s="1"/>
      <c r="U850" s="1"/>
    </row>
    <row r="851" spans="1:21" x14ac:dyDescent="0.25">
      <c r="A851" s="1"/>
      <c r="B851" s="1"/>
      <c r="C851" s="1"/>
      <c r="D851" s="1"/>
      <c r="E851" s="1"/>
      <c r="F851" s="1"/>
      <c r="G851" s="1"/>
      <c r="H851" s="1"/>
      <c r="I851" s="1"/>
      <c r="J851" s="1"/>
      <c r="K851" s="1"/>
      <c r="L851" s="1"/>
      <c r="M851" s="1"/>
      <c r="N851" s="1"/>
      <c r="O851" s="1"/>
      <c r="P851" s="1"/>
      <c r="Q851" s="1"/>
      <c r="R851" s="1"/>
      <c r="S851" s="1"/>
      <c r="T851" s="1"/>
      <c r="U851" s="1"/>
    </row>
    <row r="852" spans="1:21" x14ac:dyDescent="0.25">
      <c r="A852" s="1"/>
      <c r="B852" s="1"/>
      <c r="C852" s="1"/>
      <c r="D852" s="1"/>
      <c r="E852" s="1"/>
      <c r="F852" s="1"/>
      <c r="G852" s="1"/>
      <c r="H852" s="1"/>
      <c r="I852" s="1"/>
      <c r="J852" s="1"/>
      <c r="K852" s="1"/>
      <c r="L852" s="1"/>
      <c r="M852" s="1"/>
      <c r="N852" s="1"/>
      <c r="O852" s="1"/>
      <c r="P852" s="1"/>
      <c r="Q852" s="1"/>
      <c r="R852" s="1"/>
      <c r="S852" s="1"/>
      <c r="T852" s="1"/>
      <c r="U852" s="1"/>
    </row>
    <row r="853" spans="1:21" x14ac:dyDescent="0.25">
      <c r="A853" s="1"/>
      <c r="B853" s="1"/>
      <c r="C853" s="1"/>
      <c r="D853" s="1"/>
      <c r="E853" s="1"/>
      <c r="F853" s="1"/>
      <c r="G853" s="1"/>
      <c r="H853" s="1"/>
      <c r="I853" s="1"/>
      <c r="J853" s="1"/>
      <c r="K853" s="1"/>
      <c r="L853" s="1"/>
      <c r="M853" s="1"/>
      <c r="N853" s="1"/>
      <c r="O853" s="1"/>
      <c r="P853" s="1"/>
      <c r="Q853" s="1"/>
      <c r="R853" s="1"/>
      <c r="S853" s="1"/>
      <c r="T853" s="1"/>
      <c r="U853" s="1"/>
    </row>
    <row r="854" spans="1:21" x14ac:dyDescent="0.25">
      <c r="A854" s="1"/>
      <c r="B854" s="1"/>
      <c r="C854" s="1"/>
      <c r="D854" s="1"/>
      <c r="E854" s="1"/>
      <c r="F854" s="1"/>
      <c r="G854" s="1"/>
      <c r="H854" s="1"/>
      <c r="I854" s="1"/>
      <c r="J854" s="1"/>
      <c r="K854" s="1"/>
      <c r="L854" s="1"/>
      <c r="M854" s="1"/>
      <c r="N854" s="1"/>
      <c r="O854" s="1"/>
      <c r="P854" s="1"/>
      <c r="Q854" s="1"/>
      <c r="R854" s="1"/>
      <c r="S854" s="1"/>
      <c r="T854" s="1"/>
      <c r="U854" s="1"/>
    </row>
    <row r="855" spans="1:21" x14ac:dyDescent="0.25">
      <c r="A855" s="1"/>
      <c r="B855" s="1"/>
      <c r="C855" s="1"/>
      <c r="D855" s="1"/>
      <c r="E855" s="1"/>
      <c r="F855" s="1"/>
      <c r="G855" s="1"/>
      <c r="H855" s="1"/>
      <c r="I855" s="1"/>
      <c r="J855" s="1"/>
      <c r="K855" s="1"/>
      <c r="L855" s="1"/>
      <c r="M855" s="1"/>
      <c r="N855" s="1"/>
      <c r="O855" s="1"/>
      <c r="P855" s="1"/>
      <c r="Q855" s="1"/>
      <c r="R855" s="1"/>
      <c r="S855" s="1"/>
      <c r="T855" s="1"/>
      <c r="U855" s="1"/>
    </row>
    <row r="856" spans="1:21" x14ac:dyDescent="0.25">
      <c r="A856" s="1"/>
      <c r="B856" s="1"/>
      <c r="C856" s="1"/>
      <c r="D856" s="1"/>
      <c r="E856" s="1"/>
      <c r="F856" s="1"/>
      <c r="G856" s="1"/>
      <c r="H856" s="1"/>
      <c r="I856" s="1"/>
      <c r="J856" s="1"/>
      <c r="K856" s="1"/>
      <c r="L856" s="1"/>
      <c r="M856" s="1"/>
      <c r="N856" s="1"/>
      <c r="O856" s="1"/>
      <c r="P856" s="1"/>
      <c r="Q856" s="1"/>
      <c r="R856" s="1"/>
      <c r="S856" s="1"/>
      <c r="T856" s="1"/>
      <c r="U856" s="1"/>
    </row>
    <row r="857" spans="1:21" x14ac:dyDescent="0.25">
      <c r="A857" s="1"/>
      <c r="B857" s="1"/>
      <c r="C857" s="1"/>
      <c r="D857" s="1"/>
      <c r="E857" s="1"/>
      <c r="F857" s="1"/>
      <c r="G857" s="1"/>
      <c r="H857" s="1"/>
      <c r="I857" s="1"/>
      <c r="J857" s="1"/>
      <c r="K857" s="1"/>
      <c r="L857" s="1"/>
      <c r="M857" s="1"/>
      <c r="N857" s="1"/>
      <c r="O857" s="1"/>
      <c r="P857" s="1"/>
      <c r="Q857" s="1"/>
      <c r="R857" s="1"/>
      <c r="S857" s="1"/>
      <c r="T857" s="1"/>
      <c r="U857" s="1"/>
    </row>
    <row r="858" spans="1:21" x14ac:dyDescent="0.25">
      <c r="A858" s="1"/>
      <c r="B858" s="1"/>
      <c r="C858" s="1"/>
      <c r="D858" s="1"/>
      <c r="E858" s="1"/>
      <c r="F858" s="1"/>
      <c r="G858" s="1"/>
      <c r="H858" s="1"/>
      <c r="I858" s="1"/>
      <c r="J858" s="1"/>
      <c r="K858" s="1"/>
      <c r="L858" s="1"/>
      <c r="M858" s="1"/>
      <c r="N858" s="1"/>
      <c r="O858" s="1"/>
      <c r="P858" s="1"/>
      <c r="Q858" s="1"/>
      <c r="R858" s="1"/>
      <c r="S858" s="1"/>
      <c r="T858" s="1"/>
      <c r="U858" s="1"/>
    </row>
    <row r="859" spans="1:21" x14ac:dyDescent="0.25">
      <c r="A859" s="1"/>
      <c r="B859" s="1"/>
      <c r="C859" s="1"/>
      <c r="D859" s="1"/>
      <c r="E859" s="1"/>
      <c r="F859" s="1"/>
      <c r="G859" s="1"/>
      <c r="H859" s="1"/>
      <c r="I859" s="1"/>
      <c r="J859" s="1"/>
      <c r="K859" s="1"/>
      <c r="L859" s="1"/>
      <c r="M859" s="1"/>
      <c r="N859" s="1"/>
      <c r="O859" s="1"/>
      <c r="P859" s="1"/>
      <c r="Q859" s="1"/>
      <c r="R859" s="1"/>
      <c r="S859" s="1"/>
      <c r="T859" s="1"/>
      <c r="U859" s="1"/>
    </row>
    <row r="860" spans="1:21" x14ac:dyDescent="0.25">
      <c r="A860" s="1"/>
      <c r="B860" s="1"/>
      <c r="C860" s="1"/>
      <c r="D860" s="1"/>
      <c r="E860" s="1"/>
      <c r="F860" s="1"/>
      <c r="G860" s="1"/>
      <c r="H860" s="1"/>
      <c r="I860" s="1"/>
      <c r="J860" s="1"/>
      <c r="K860" s="1"/>
      <c r="L860" s="1"/>
      <c r="M860" s="1"/>
      <c r="N860" s="1"/>
      <c r="O860" s="1"/>
      <c r="P860" s="1"/>
      <c r="Q860" s="1"/>
      <c r="R860" s="1"/>
      <c r="S860" s="1"/>
      <c r="T860" s="1"/>
      <c r="U860" s="1"/>
    </row>
    <row r="861" spans="1:21" x14ac:dyDescent="0.25">
      <c r="A861" s="1"/>
      <c r="B861" s="1"/>
      <c r="C861" s="1"/>
      <c r="D861" s="1"/>
      <c r="E861" s="1"/>
      <c r="F861" s="1"/>
      <c r="G861" s="1"/>
      <c r="H861" s="1"/>
      <c r="I861" s="1"/>
      <c r="J861" s="1"/>
      <c r="K861" s="1"/>
      <c r="L861" s="1"/>
      <c r="M861" s="1"/>
      <c r="N861" s="1"/>
      <c r="O861" s="1"/>
      <c r="P861" s="1"/>
      <c r="Q861" s="1"/>
      <c r="R861" s="1"/>
      <c r="S861" s="1"/>
      <c r="T861" s="1"/>
      <c r="U861" s="1"/>
    </row>
    <row r="862" spans="1:21" x14ac:dyDescent="0.25">
      <c r="A862" s="1"/>
      <c r="B862" s="1"/>
      <c r="C862" s="1"/>
      <c r="D862" s="1"/>
      <c r="E862" s="1"/>
      <c r="F862" s="1"/>
      <c r="G862" s="1"/>
      <c r="H862" s="1"/>
      <c r="I862" s="1"/>
      <c r="J862" s="1"/>
      <c r="K862" s="1"/>
      <c r="L862" s="1"/>
      <c r="M862" s="1"/>
      <c r="N862" s="1"/>
      <c r="O862" s="1"/>
      <c r="P862" s="1"/>
      <c r="Q862" s="1"/>
      <c r="R862" s="1"/>
      <c r="S862" s="1"/>
      <c r="T862" s="1"/>
      <c r="U862" s="1"/>
    </row>
    <row r="863" spans="1:21" x14ac:dyDescent="0.25">
      <c r="A863" s="1"/>
      <c r="B863" s="1"/>
      <c r="C863" s="1"/>
      <c r="D863" s="1"/>
      <c r="E863" s="1"/>
      <c r="F863" s="1"/>
      <c r="G863" s="1"/>
      <c r="H863" s="1"/>
      <c r="I863" s="1"/>
      <c r="J863" s="1"/>
      <c r="K863" s="1"/>
      <c r="L863" s="1"/>
      <c r="M863" s="1"/>
      <c r="N863" s="1"/>
      <c r="O863" s="1"/>
      <c r="P863" s="1"/>
      <c r="Q863" s="1"/>
      <c r="R863" s="1"/>
      <c r="S863" s="1"/>
      <c r="T863" s="1"/>
      <c r="U863" s="1"/>
    </row>
    <row r="864" spans="1:21" x14ac:dyDescent="0.25">
      <c r="A864" s="1"/>
      <c r="B864" s="1"/>
      <c r="C864" s="1"/>
      <c r="D864" s="1"/>
      <c r="E864" s="1"/>
      <c r="F864" s="1"/>
      <c r="G864" s="1"/>
      <c r="H864" s="1"/>
      <c r="I864" s="1"/>
      <c r="J864" s="1"/>
      <c r="K864" s="1"/>
      <c r="L864" s="1"/>
      <c r="M864" s="1"/>
      <c r="N864" s="1"/>
      <c r="O864" s="1"/>
      <c r="P864" s="1"/>
      <c r="Q864" s="1"/>
      <c r="R864" s="1"/>
      <c r="S864" s="1"/>
      <c r="T864" s="1"/>
      <c r="U864" s="1"/>
    </row>
    <row r="865" spans="1:21" x14ac:dyDescent="0.25">
      <c r="A865" s="1"/>
      <c r="B865" s="1"/>
      <c r="C865" s="1"/>
      <c r="D865" s="1"/>
      <c r="E865" s="1"/>
      <c r="F865" s="1"/>
      <c r="G865" s="1"/>
      <c r="H865" s="1"/>
      <c r="I865" s="1"/>
      <c r="J865" s="1"/>
      <c r="K865" s="1"/>
      <c r="L865" s="1"/>
      <c r="M865" s="1"/>
      <c r="N865" s="1"/>
      <c r="O865" s="1"/>
      <c r="P865" s="1"/>
      <c r="Q865" s="1"/>
      <c r="R865" s="1"/>
      <c r="S865" s="1"/>
      <c r="T865" s="1"/>
      <c r="U865" s="1"/>
    </row>
    <row r="866" spans="1:21" x14ac:dyDescent="0.25">
      <c r="A866" s="1"/>
      <c r="B866" s="1"/>
      <c r="C866" s="1"/>
      <c r="D866" s="1"/>
      <c r="E866" s="1"/>
      <c r="F866" s="1"/>
      <c r="G866" s="1"/>
      <c r="H866" s="1"/>
      <c r="I866" s="1"/>
      <c r="J866" s="1"/>
      <c r="K866" s="1"/>
      <c r="L866" s="1"/>
      <c r="M866" s="1"/>
      <c r="N866" s="1"/>
      <c r="O866" s="1"/>
      <c r="P866" s="1"/>
      <c r="Q866" s="1"/>
      <c r="R866" s="1"/>
      <c r="S866" s="1"/>
      <c r="T866" s="1"/>
      <c r="U866" s="1"/>
    </row>
    <row r="867" spans="1:21" x14ac:dyDescent="0.25">
      <c r="A867" s="1"/>
      <c r="B867" s="1"/>
      <c r="C867" s="1"/>
      <c r="D867" s="1"/>
      <c r="E867" s="1"/>
      <c r="F867" s="1"/>
      <c r="G867" s="1"/>
      <c r="H867" s="1"/>
      <c r="I867" s="1"/>
      <c r="J867" s="1"/>
      <c r="K867" s="1"/>
      <c r="L867" s="1"/>
      <c r="M867" s="1"/>
      <c r="N867" s="1"/>
      <c r="O867" s="1"/>
      <c r="P867" s="1"/>
      <c r="Q867" s="1"/>
      <c r="R867" s="1"/>
      <c r="S867" s="1"/>
      <c r="T867" s="1"/>
      <c r="U867" s="1"/>
    </row>
    <row r="868" spans="1:21" x14ac:dyDescent="0.25">
      <c r="A868" s="1"/>
      <c r="B868" s="1"/>
      <c r="C868" s="1"/>
      <c r="D868" s="1"/>
      <c r="E868" s="1"/>
      <c r="F868" s="1"/>
      <c r="G868" s="1"/>
      <c r="H868" s="1"/>
      <c r="I868" s="1"/>
      <c r="J868" s="1"/>
      <c r="K868" s="1"/>
      <c r="L868" s="1"/>
      <c r="M868" s="1"/>
      <c r="N868" s="1"/>
      <c r="O868" s="1"/>
      <c r="P868" s="1"/>
      <c r="Q868" s="1"/>
      <c r="R868" s="1"/>
      <c r="S868" s="1"/>
      <c r="T868" s="1"/>
      <c r="U868" s="1"/>
    </row>
    <row r="869" spans="1:21" x14ac:dyDescent="0.25">
      <c r="A869" s="1"/>
      <c r="B869" s="1"/>
      <c r="C869" s="1"/>
      <c r="D869" s="1"/>
      <c r="E869" s="1"/>
      <c r="F869" s="1"/>
      <c r="G869" s="1"/>
      <c r="H869" s="1"/>
      <c r="I869" s="1"/>
      <c r="J869" s="1"/>
      <c r="K869" s="1"/>
      <c r="L869" s="1"/>
      <c r="M869" s="1"/>
      <c r="N869" s="1"/>
      <c r="O869" s="1"/>
      <c r="P869" s="1"/>
      <c r="Q869" s="1"/>
      <c r="R869" s="1"/>
      <c r="S869" s="1"/>
      <c r="T869" s="1"/>
      <c r="U869" s="1"/>
    </row>
    <row r="870" spans="1:21" x14ac:dyDescent="0.25">
      <c r="A870" s="1"/>
      <c r="B870" s="1"/>
      <c r="C870" s="1"/>
      <c r="D870" s="1"/>
      <c r="E870" s="1"/>
      <c r="F870" s="1"/>
      <c r="G870" s="1"/>
      <c r="H870" s="1"/>
      <c r="I870" s="1"/>
      <c r="J870" s="1"/>
      <c r="K870" s="1"/>
      <c r="L870" s="1"/>
      <c r="M870" s="1"/>
      <c r="N870" s="1"/>
      <c r="O870" s="1"/>
      <c r="P870" s="1"/>
      <c r="Q870" s="1"/>
      <c r="R870" s="1"/>
      <c r="S870" s="1"/>
      <c r="T870" s="1"/>
      <c r="U870" s="1"/>
    </row>
    <row r="871" spans="1:21" x14ac:dyDescent="0.25">
      <c r="A871" s="1"/>
      <c r="B871" s="1"/>
      <c r="C871" s="1"/>
      <c r="D871" s="1"/>
      <c r="E871" s="1"/>
      <c r="F871" s="1"/>
      <c r="G871" s="1"/>
      <c r="H871" s="1"/>
      <c r="I871" s="1"/>
      <c r="J871" s="1"/>
      <c r="K871" s="1"/>
      <c r="L871" s="1"/>
      <c r="M871" s="1"/>
      <c r="N871" s="1"/>
      <c r="O871" s="1"/>
      <c r="P871" s="1"/>
      <c r="Q871" s="1"/>
      <c r="R871" s="1"/>
      <c r="S871" s="1"/>
      <c r="T871" s="1"/>
      <c r="U871" s="1"/>
    </row>
    <row r="872" spans="1:21" x14ac:dyDescent="0.25">
      <c r="A872" s="1"/>
      <c r="B872" s="1"/>
      <c r="C872" s="1"/>
      <c r="D872" s="1"/>
      <c r="E872" s="1"/>
      <c r="F872" s="1"/>
      <c r="G872" s="1"/>
      <c r="H872" s="1"/>
      <c r="I872" s="1"/>
      <c r="J872" s="1"/>
      <c r="K872" s="1"/>
      <c r="L872" s="1"/>
      <c r="M872" s="1"/>
      <c r="N872" s="1"/>
      <c r="O872" s="1"/>
      <c r="P872" s="1"/>
      <c r="Q872" s="1"/>
      <c r="R872" s="1"/>
      <c r="S872" s="1"/>
      <c r="T872" s="1"/>
      <c r="U872" s="1"/>
    </row>
    <row r="873" spans="1:21" x14ac:dyDescent="0.25">
      <c r="A873" s="1"/>
      <c r="B873" s="1"/>
      <c r="C873" s="1"/>
      <c r="D873" s="1"/>
      <c r="E873" s="1"/>
      <c r="F873" s="1"/>
      <c r="G873" s="1"/>
      <c r="H873" s="1"/>
      <c r="I873" s="1"/>
      <c r="J873" s="1"/>
      <c r="K873" s="1"/>
      <c r="L873" s="1"/>
      <c r="M873" s="1"/>
      <c r="N873" s="1"/>
      <c r="O873" s="1"/>
      <c r="P873" s="1"/>
      <c r="Q873" s="1"/>
      <c r="R873" s="1"/>
      <c r="S873" s="1"/>
      <c r="T873" s="1"/>
      <c r="U873" s="1"/>
    </row>
    <row r="874" spans="1:21" x14ac:dyDescent="0.25">
      <c r="A874" s="1"/>
      <c r="B874" s="1"/>
      <c r="C874" s="1"/>
      <c r="D874" s="1"/>
      <c r="E874" s="1"/>
      <c r="F874" s="1"/>
      <c r="G874" s="1"/>
      <c r="H874" s="1"/>
      <c r="I874" s="1"/>
      <c r="J874" s="1"/>
      <c r="K874" s="1"/>
      <c r="L874" s="1"/>
      <c r="M874" s="1"/>
      <c r="N874" s="1"/>
      <c r="O874" s="1"/>
      <c r="P874" s="1"/>
      <c r="Q874" s="1"/>
      <c r="R874" s="1"/>
      <c r="S874" s="1"/>
      <c r="T874" s="1"/>
      <c r="U874" s="1"/>
    </row>
    <row r="875" spans="1:21" x14ac:dyDescent="0.25">
      <c r="A875" s="1"/>
      <c r="B875" s="1"/>
      <c r="C875" s="1"/>
      <c r="D875" s="1"/>
      <c r="E875" s="1"/>
      <c r="F875" s="1"/>
      <c r="G875" s="1"/>
      <c r="H875" s="1"/>
      <c r="I875" s="1"/>
      <c r="J875" s="1"/>
      <c r="K875" s="1"/>
      <c r="L875" s="1"/>
      <c r="M875" s="1"/>
      <c r="N875" s="1"/>
      <c r="O875" s="1"/>
      <c r="P875" s="1"/>
      <c r="Q875" s="1"/>
      <c r="R875" s="1"/>
      <c r="S875" s="1"/>
      <c r="T875" s="1"/>
      <c r="U875" s="1"/>
    </row>
    <row r="876" spans="1:21" x14ac:dyDescent="0.25">
      <c r="A876" s="1"/>
      <c r="B876" s="1"/>
      <c r="C876" s="1"/>
      <c r="D876" s="1"/>
      <c r="E876" s="1"/>
      <c r="F876" s="1"/>
      <c r="G876" s="1"/>
      <c r="H876" s="1"/>
      <c r="I876" s="1"/>
      <c r="J876" s="1"/>
      <c r="K876" s="1"/>
      <c r="L876" s="1"/>
      <c r="M876" s="1"/>
      <c r="N876" s="1"/>
      <c r="O876" s="1"/>
      <c r="P876" s="1"/>
      <c r="Q876" s="1"/>
      <c r="R876" s="1"/>
      <c r="S876" s="1"/>
      <c r="T876" s="1"/>
      <c r="U876" s="1"/>
    </row>
    <row r="877" spans="1:21" x14ac:dyDescent="0.25">
      <c r="A877" s="1"/>
      <c r="B877" s="1"/>
      <c r="C877" s="1"/>
      <c r="D877" s="1"/>
      <c r="E877" s="1"/>
      <c r="F877" s="1"/>
      <c r="G877" s="1"/>
      <c r="H877" s="1"/>
      <c r="I877" s="1"/>
      <c r="J877" s="1"/>
      <c r="K877" s="1"/>
      <c r="L877" s="1"/>
      <c r="M877" s="1"/>
      <c r="N877" s="1"/>
      <c r="O877" s="1"/>
      <c r="P877" s="1"/>
      <c r="Q877" s="1"/>
      <c r="R877" s="1"/>
      <c r="S877" s="1"/>
      <c r="T877" s="1"/>
      <c r="U877" s="1"/>
    </row>
    <row r="878" spans="1:21" x14ac:dyDescent="0.25">
      <c r="A878" s="1"/>
      <c r="B878" s="1"/>
      <c r="C878" s="1"/>
      <c r="D878" s="1"/>
      <c r="E878" s="1"/>
      <c r="F878" s="1"/>
      <c r="G878" s="1"/>
      <c r="H878" s="1"/>
      <c r="I878" s="1"/>
      <c r="J878" s="1"/>
      <c r="K878" s="1"/>
      <c r="L878" s="1"/>
      <c r="M878" s="1"/>
      <c r="N878" s="1"/>
      <c r="O878" s="1"/>
      <c r="P878" s="1"/>
      <c r="Q878" s="1"/>
      <c r="R878" s="1"/>
      <c r="S878" s="1"/>
      <c r="T878" s="1"/>
      <c r="U878" s="1"/>
    </row>
    <row r="879" spans="1:21" x14ac:dyDescent="0.25">
      <c r="A879" s="1"/>
      <c r="B879" s="1"/>
      <c r="C879" s="1"/>
      <c r="D879" s="1"/>
      <c r="E879" s="1"/>
      <c r="F879" s="1"/>
      <c r="G879" s="1"/>
      <c r="H879" s="1"/>
      <c r="I879" s="1"/>
      <c r="J879" s="1"/>
      <c r="K879" s="1"/>
      <c r="L879" s="1"/>
      <c r="M879" s="1"/>
      <c r="N879" s="1"/>
      <c r="O879" s="1"/>
      <c r="P879" s="1"/>
      <c r="Q879" s="1"/>
      <c r="R879" s="1"/>
      <c r="S879" s="1"/>
      <c r="T879" s="1"/>
      <c r="U879" s="1"/>
    </row>
    <row r="880" spans="1:21" x14ac:dyDescent="0.25">
      <c r="A880" s="1"/>
      <c r="B880" s="1"/>
      <c r="C880" s="1"/>
      <c r="D880" s="1"/>
      <c r="E880" s="1"/>
      <c r="F880" s="1"/>
      <c r="G880" s="1"/>
      <c r="H880" s="1"/>
      <c r="I880" s="1"/>
      <c r="J880" s="1"/>
      <c r="K880" s="1"/>
      <c r="L880" s="1"/>
      <c r="M880" s="1"/>
      <c r="N880" s="1"/>
      <c r="O880" s="1"/>
      <c r="P880" s="1"/>
      <c r="Q880" s="1"/>
      <c r="R880" s="1"/>
      <c r="S880" s="1"/>
      <c r="T880" s="1"/>
      <c r="U880" s="1"/>
    </row>
    <row r="881" spans="1:21" x14ac:dyDescent="0.25">
      <c r="A881" s="1"/>
      <c r="B881" s="1"/>
      <c r="C881" s="1"/>
      <c r="D881" s="1"/>
      <c r="E881" s="1"/>
      <c r="F881" s="1"/>
      <c r="G881" s="1"/>
      <c r="H881" s="1"/>
      <c r="I881" s="1"/>
      <c r="J881" s="1"/>
      <c r="K881" s="1"/>
      <c r="L881" s="1"/>
      <c r="M881" s="1"/>
      <c r="N881" s="1"/>
      <c r="O881" s="1"/>
      <c r="P881" s="1"/>
      <c r="Q881" s="1"/>
      <c r="R881" s="1"/>
      <c r="S881" s="1"/>
      <c r="T881" s="1"/>
      <c r="U881" s="1"/>
    </row>
    <row r="882" spans="1:21" x14ac:dyDescent="0.25">
      <c r="A882" s="1"/>
      <c r="B882" s="1"/>
      <c r="C882" s="1"/>
      <c r="D882" s="1"/>
      <c r="E882" s="1"/>
      <c r="F882" s="1"/>
      <c r="G882" s="1"/>
      <c r="H882" s="1"/>
      <c r="I882" s="1"/>
      <c r="J882" s="1"/>
      <c r="K882" s="1"/>
      <c r="L882" s="1"/>
      <c r="M882" s="1"/>
      <c r="N882" s="1"/>
      <c r="O882" s="1"/>
      <c r="P882" s="1"/>
      <c r="Q882" s="1"/>
      <c r="R882" s="1"/>
      <c r="S882" s="1"/>
      <c r="T882" s="1"/>
      <c r="U882" s="1"/>
    </row>
    <row r="883" spans="1:21" x14ac:dyDescent="0.25">
      <c r="A883" s="1"/>
      <c r="B883" s="1"/>
      <c r="C883" s="1"/>
      <c r="D883" s="1"/>
      <c r="E883" s="1"/>
      <c r="F883" s="1"/>
      <c r="G883" s="1"/>
      <c r="H883" s="1"/>
      <c r="I883" s="1"/>
      <c r="J883" s="1"/>
      <c r="K883" s="1"/>
      <c r="L883" s="1"/>
      <c r="M883" s="1"/>
      <c r="N883" s="1"/>
      <c r="O883" s="1"/>
      <c r="P883" s="1"/>
      <c r="Q883" s="1"/>
      <c r="R883" s="1"/>
      <c r="S883" s="1"/>
      <c r="T883" s="1"/>
      <c r="U883" s="1"/>
    </row>
    <row r="884" spans="1:21" x14ac:dyDescent="0.25">
      <c r="A884" s="1"/>
      <c r="B884" s="1"/>
      <c r="C884" s="1"/>
      <c r="D884" s="1"/>
      <c r="E884" s="1"/>
      <c r="F884" s="1"/>
      <c r="G884" s="1"/>
      <c r="H884" s="1"/>
      <c r="I884" s="1"/>
      <c r="J884" s="1"/>
      <c r="K884" s="1"/>
      <c r="L884" s="1"/>
      <c r="M884" s="1"/>
      <c r="N884" s="1"/>
      <c r="O884" s="1"/>
      <c r="P884" s="1"/>
      <c r="Q884" s="1"/>
      <c r="R884" s="1"/>
      <c r="S884" s="1"/>
      <c r="T884" s="1"/>
      <c r="U884" s="1"/>
    </row>
    <row r="885" spans="1:21" x14ac:dyDescent="0.25">
      <c r="A885" s="1"/>
      <c r="B885" s="1"/>
      <c r="C885" s="1"/>
      <c r="D885" s="1"/>
      <c r="E885" s="1"/>
      <c r="F885" s="1"/>
      <c r="G885" s="1"/>
      <c r="H885" s="1"/>
      <c r="I885" s="1"/>
      <c r="J885" s="1"/>
      <c r="K885" s="1"/>
      <c r="L885" s="1"/>
      <c r="M885" s="1"/>
      <c r="N885" s="1"/>
      <c r="O885" s="1"/>
      <c r="P885" s="1"/>
      <c r="Q885" s="1"/>
      <c r="R885" s="1"/>
      <c r="S885" s="1"/>
      <c r="T885" s="1"/>
      <c r="U885" s="1"/>
    </row>
    <row r="886" spans="1:21" x14ac:dyDescent="0.25">
      <c r="A886" s="1"/>
      <c r="B886" s="1"/>
      <c r="C886" s="1"/>
      <c r="D886" s="1"/>
      <c r="E886" s="1"/>
      <c r="F886" s="1"/>
      <c r="G886" s="1"/>
      <c r="H886" s="1"/>
      <c r="I886" s="1"/>
      <c r="J886" s="1"/>
      <c r="K886" s="1"/>
      <c r="L886" s="1"/>
      <c r="M886" s="1"/>
      <c r="N886" s="1"/>
      <c r="O886" s="1"/>
      <c r="P886" s="1"/>
      <c r="Q886" s="1"/>
      <c r="R886" s="1"/>
      <c r="S886" s="1"/>
      <c r="T886" s="1"/>
      <c r="U886" s="1"/>
    </row>
    <row r="887" spans="1:21" x14ac:dyDescent="0.25">
      <c r="A887" s="1"/>
      <c r="B887" s="1"/>
      <c r="C887" s="1"/>
      <c r="D887" s="1"/>
      <c r="E887" s="1"/>
      <c r="F887" s="1"/>
      <c r="G887" s="1"/>
      <c r="H887" s="1"/>
      <c r="I887" s="1"/>
      <c r="J887" s="1"/>
      <c r="K887" s="1"/>
      <c r="L887" s="1"/>
      <c r="M887" s="1"/>
      <c r="N887" s="1"/>
      <c r="O887" s="1"/>
      <c r="P887" s="1"/>
      <c r="Q887" s="1"/>
      <c r="R887" s="1"/>
      <c r="S887" s="1"/>
      <c r="T887" s="1"/>
      <c r="U887" s="1"/>
    </row>
    <row r="888" spans="1:21" x14ac:dyDescent="0.25">
      <c r="A888" s="1"/>
      <c r="B888" s="1"/>
      <c r="C888" s="1"/>
      <c r="D888" s="1"/>
      <c r="E888" s="1"/>
      <c r="F888" s="1"/>
      <c r="G888" s="1"/>
      <c r="H888" s="1"/>
      <c r="I888" s="1"/>
      <c r="J888" s="1"/>
      <c r="K888" s="1"/>
      <c r="L888" s="1"/>
      <c r="M888" s="1"/>
      <c r="N888" s="1"/>
      <c r="O888" s="1"/>
      <c r="P888" s="1"/>
      <c r="Q888" s="1"/>
      <c r="R888" s="1"/>
      <c r="S888" s="1"/>
      <c r="T888" s="1"/>
      <c r="U888" s="1"/>
    </row>
    <row r="889" spans="1:21" x14ac:dyDescent="0.25">
      <c r="A889" s="1"/>
      <c r="B889" s="1"/>
      <c r="C889" s="1"/>
      <c r="D889" s="1"/>
      <c r="E889" s="1"/>
      <c r="F889" s="1"/>
      <c r="G889" s="1"/>
      <c r="H889" s="1"/>
      <c r="I889" s="1"/>
      <c r="J889" s="1"/>
      <c r="K889" s="1"/>
      <c r="L889" s="1"/>
      <c r="M889" s="1"/>
      <c r="N889" s="1"/>
      <c r="O889" s="1"/>
      <c r="P889" s="1"/>
      <c r="Q889" s="1"/>
      <c r="R889" s="1"/>
      <c r="S889" s="1"/>
      <c r="T889" s="1"/>
      <c r="U889" s="1"/>
    </row>
    <row r="890" spans="1:21" x14ac:dyDescent="0.25">
      <c r="A890" s="1"/>
      <c r="B890" s="1"/>
      <c r="C890" s="1"/>
      <c r="D890" s="1"/>
      <c r="E890" s="1"/>
      <c r="F890" s="1"/>
      <c r="G890" s="1"/>
      <c r="H890" s="1"/>
      <c r="I890" s="1"/>
      <c r="J890" s="1"/>
      <c r="K890" s="1"/>
      <c r="L890" s="1"/>
      <c r="M890" s="1"/>
      <c r="N890" s="1"/>
      <c r="O890" s="1"/>
      <c r="P890" s="1"/>
      <c r="Q890" s="1"/>
      <c r="R890" s="1"/>
      <c r="S890" s="1"/>
      <c r="T890" s="1"/>
      <c r="U890" s="1"/>
    </row>
    <row r="891" spans="1:21" x14ac:dyDescent="0.25">
      <c r="A891" s="1"/>
      <c r="B891" s="1"/>
      <c r="C891" s="1"/>
      <c r="D891" s="1"/>
      <c r="E891" s="1"/>
      <c r="F891" s="1"/>
      <c r="G891" s="1"/>
      <c r="H891" s="1"/>
      <c r="I891" s="1"/>
      <c r="J891" s="1"/>
      <c r="K891" s="1"/>
      <c r="L891" s="1"/>
      <c r="M891" s="1"/>
      <c r="N891" s="1"/>
      <c r="O891" s="1"/>
      <c r="P891" s="1"/>
      <c r="Q891" s="1"/>
      <c r="R891" s="1"/>
      <c r="S891" s="1"/>
      <c r="T891" s="1"/>
      <c r="U891" s="1"/>
    </row>
    <row r="892" spans="1:21" x14ac:dyDescent="0.25">
      <c r="A892" s="1"/>
      <c r="B892" s="1"/>
      <c r="C892" s="1"/>
      <c r="D892" s="1"/>
      <c r="E892" s="1"/>
      <c r="F892" s="1"/>
      <c r="G892" s="1"/>
      <c r="H892" s="1"/>
      <c r="I892" s="1"/>
      <c r="J892" s="1"/>
      <c r="K892" s="1"/>
      <c r="L892" s="1"/>
      <c r="M892" s="1"/>
      <c r="N892" s="1"/>
      <c r="O892" s="1"/>
      <c r="P892" s="1"/>
      <c r="Q892" s="1"/>
      <c r="R892" s="1"/>
      <c r="S892" s="1"/>
      <c r="T892" s="1"/>
      <c r="U892" s="1"/>
    </row>
    <row r="893" spans="1:21" x14ac:dyDescent="0.25">
      <c r="A893" s="1"/>
      <c r="B893" s="1"/>
      <c r="C893" s="1"/>
      <c r="D893" s="1"/>
      <c r="E893" s="1"/>
      <c r="F893" s="1"/>
      <c r="G893" s="1"/>
      <c r="H893" s="1"/>
      <c r="I893" s="1"/>
      <c r="J893" s="1"/>
      <c r="K893" s="1"/>
      <c r="L893" s="1"/>
      <c r="M893" s="1"/>
      <c r="N893" s="1"/>
      <c r="O893" s="1"/>
      <c r="P893" s="1"/>
      <c r="Q893" s="1"/>
      <c r="R893" s="1"/>
      <c r="S893" s="1"/>
      <c r="T893" s="1"/>
      <c r="U893" s="1"/>
    </row>
    <row r="894" spans="1:21" x14ac:dyDescent="0.25">
      <c r="A894" s="1"/>
      <c r="B894" s="1"/>
      <c r="C894" s="1"/>
      <c r="D894" s="1"/>
      <c r="E894" s="1"/>
      <c r="F894" s="1"/>
      <c r="G894" s="1"/>
      <c r="H894" s="1"/>
      <c r="I894" s="1"/>
      <c r="J894" s="1"/>
      <c r="K894" s="1"/>
      <c r="L894" s="1"/>
      <c r="M894" s="1"/>
      <c r="N894" s="1"/>
      <c r="O894" s="1"/>
      <c r="P894" s="1"/>
      <c r="Q894" s="1"/>
      <c r="R894" s="1"/>
      <c r="S894" s="1"/>
      <c r="T894" s="1"/>
      <c r="U894" s="1"/>
    </row>
    <row r="895" spans="1:21" x14ac:dyDescent="0.25">
      <c r="A895" s="1"/>
      <c r="B895" s="1"/>
      <c r="C895" s="1"/>
      <c r="D895" s="1"/>
      <c r="E895" s="1"/>
      <c r="F895" s="1"/>
      <c r="G895" s="1"/>
      <c r="H895" s="1"/>
      <c r="I895" s="1"/>
      <c r="J895" s="1"/>
      <c r="K895" s="1"/>
      <c r="L895" s="1"/>
      <c r="M895" s="1"/>
      <c r="N895" s="1"/>
      <c r="O895" s="1"/>
      <c r="P895" s="1"/>
      <c r="Q895" s="1"/>
      <c r="R895" s="1"/>
      <c r="S895" s="1"/>
      <c r="T895" s="1"/>
      <c r="U895" s="1"/>
    </row>
    <row r="896" spans="1:21" x14ac:dyDescent="0.25">
      <c r="A896" s="1"/>
      <c r="B896" s="1"/>
      <c r="C896" s="1"/>
      <c r="D896" s="1"/>
      <c r="E896" s="1"/>
      <c r="F896" s="1"/>
      <c r="G896" s="1"/>
      <c r="H896" s="1"/>
      <c r="I896" s="1"/>
      <c r="J896" s="1"/>
      <c r="K896" s="1"/>
      <c r="L896" s="1"/>
      <c r="M896" s="1"/>
      <c r="N896" s="1"/>
      <c r="O896" s="1"/>
      <c r="P896" s="1"/>
      <c r="Q896" s="1"/>
      <c r="R896" s="1"/>
      <c r="S896" s="1"/>
      <c r="T896" s="1"/>
      <c r="U896" s="1"/>
    </row>
    <row r="897" spans="1:21" x14ac:dyDescent="0.25">
      <c r="A897" s="1"/>
      <c r="B897" s="1"/>
      <c r="C897" s="1"/>
      <c r="D897" s="1"/>
      <c r="E897" s="1"/>
      <c r="F897" s="1"/>
      <c r="G897" s="1"/>
      <c r="H897" s="1"/>
      <c r="I897" s="1"/>
      <c r="J897" s="1"/>
      <c r="K897" s="1"/>
      <c r="L897" s="1"/>
      <c r="M897" s="1"/>
      <c r="N897" s="1"/>
      <c r="O897" s="1"/>
      <c r="P897" s="1"/>
      <c r="Q897" s="1"/>
      <c r="R897" s="1"/>
      <c r="S897" s="1"/>
      <c r="T897" s="1"/>
      <c r="U897" s="1"/>
    </row>
    <row r="898" spans="1:21" x14ac:dyDescent="0.25">
      <c r="A898" s="1"/>
      <c r="B898" s="1"/>
      <c r="C898" s="1"/>
      <c r="D898" s="1"/>
      <c r="E898" s="1"/>
      <c r="F898" s="1"/>
      <c r="G898" s="1"/>
      <c r="H898" s="1"/>
      <c r="I898" s="1"/>
      <c r="J898" s="1"/>
      <c r="K898" s="1"/>
      <c r="L898" s="1"/>
      <c r="M898" s="1"/>
      <c r="N898" s="1"/>
      <c r="O898" s="1"/>
      <c r="P898" s="1"/>
      <c r="Q898" s="1"/>
      <c r="R898" s="1"/>
      <c r="S898" s="1"/>
      <c r="T898" s="1"/>
      <c r="U898" s="1"/>
    </row>
    <row r="899" spans="1:21" x14ac:dyDescent="0.25">
      <c r="A899" s="1"/>
      <c r="B899" s="1"/>
      <c r="C899" s="1"/>
      <c r="D899" s="1"/>
      <c r="E899" s="1"/>
      <c r="F899" s="1"/>
      <c r="G899" s="1"/>
      <c r="H899" s="1"/>
      <c r="I899" s="1"/>
      <c r="J899" s="1"/>
      <c r="K899" s="1"/>
      <c r="L899" s="1"/>
      <c r="M899" s="1"/>
      <c r="N899" s="1"/>
      <c r="O899" s="1"/>
      <c r="P899" s="1"/>
      <c r="Q899" s="1"/>
      <c r="R899" s="1"/>
      <c r="S899" s="1"/>
      <c r="T899" s="1"/>
      <c r="U899" s="1"/>
    </row>
    <row r="900" spans="1:21" x14ac:dyDescent="0.25">
      <c r="A900" s="1"/>
      <c r="B900" s="1"/>
      <c r="C900" s="1"/>
      <c r="D900" s="1"/>
      <c r="E900" s="1"/>
      <c r="F900" s="1"/>
      <c r="G900" s="1"/>
      <c r="H900" s="1"/>
      <c r="I900" s="1"/>
      <c r="J900" s="1"/>
      <c r="K900" s="1"/>
      <c r="L900" s="1"/>
      <c r="M900" s="1"/>
      <c r="N900" s="1"/>
      <c r="O900" s="1"/>
      <c r="P900" s="1"/>
      <c r="Q900" s="1"/>
      <c r="R900" s="1"/>
      <c r="S900" s="1"/>
      <c r="T900" s="1"/>
      <c r="U900" s="1"/>
    </row>
    <row r="901" spans="1:21" x14ac:dyDescent="0.25">
      <c r="A901" s="1"/>
      <c r="B901" s="1"/>
      <c r="C901" s="1"/>
      <c r="D901" s="1"/>
      <c r="E901" s="1"/>
      <c r="F901" s="1"/>
      <c r="G901" s="1"/>
      <c r="H901" s="1"/>
      <c r="I901" s="1"/>
      <c r="J901" s="1"/>
      <c r="K901" s="1"/>
      <c r="L901" s="1"/>
      <c r="M901" s="1"/>
      <c r="N901" s="1"/>
      <c r="O901" s="1"/>
      <c r="P901" s="1"/>
      <c r="Q901" s="1"/>
      <c r="R901" s="1"/>
      <c r="S901" s="1"/>
      <c r="T901" s="1"/>
      <c r="U901" s="1"/>
    </row>
    <row r="902" spans="1:21" x14ac:dyDescent="0.25">
      <c r="A902" s="1"/>
      <c r="B902" s="1"/>
      <c r="C902" s="1"/>
      <c r="D902" s="1"/>
      <c r="E902" s="1"/>
      <c r="F902" s="1"/>
      <c r="G902" s="1"/>
      <c r="H902" s="1"/>
      <c r="I902" s="1"/>
      <c r="J902" s="1"/>
      <c r="K902" s="1"/>
      <c r="L902" s="1"/>
      <c r="M902" s="1"/>
      <c r="N902" s="1"/>
      <c r="O902" s="1"/>
      <c r="P902" s="1"/>
      <c r="Q902" s="1"/>
      <c r="R902" s="1"/>
      <c r="S902" s="1"/>
      <c r="T902" s="1"/>
      <c r="U902" s="1"/>
    </row>
    <row r="903" spans="1:21" x14ac:dyDescent="0.25">
      <c r="A903" s="1"/>
      <c r="B903" s="1"/>
      <c r="C903" s="1"/>
      <c r="D903" s="1"/>
      <c r="E903" s="1"/>
      <c r="F903" s="1"/>
      <c r="G903" s="1"/>
      <c r="H903" s="1"/>
      <c r="I903" s="1"/>
      <c r="J903" s="1"/>
      <c r="K903" s="1"/>
      <c r="L903" s="1"/>
      <c r="M903" s="1"/>
      <c r="N903" s="1"/>
      <c r="O903" s="1"/>
      <c r="P903" s="1"/>
      <c r="Q903" s="1"/>
      <c r="R903" s="1"/>
      <c r="S903" s="1"/>
      <c r="T903" s="1"/>
      <c r="U903" s="1"/>
    </row>
    <row r="904" spans="1:21" x14ac:dyDescent="0.25">
      <c r="A904" s="1"/>
      <c r="B904" s="1"/>
      <c r="C904" s="1"/>
      <c r="D904" s="1"/>
      <c r="E904" s="1"/>
      <c r="F904" s="1"/>
      <c r="G904" s="1"/>
      <c r="H904" s="1"/>
      <c r="I904" s="1"/>
      <c r="J904" s="1"/>
      <c r="K904" s="1"/>
      <c r="L904" s="1"/>
      <c r="M904" s="1"/>
      <c r="N904" s="1"/>
      <c r="O904" s="1"/>
      <c r="P904" s="1"/>
      <c r="Q904" s="1"/>
      <c r="R904" s="1"/>
      <c r="S904" s="1"/>
      <c r="T904" s="1"/>
      <c r="U904" s="1"/>
    </row>
    <row r="905" spans="1:21" x14ac:dyDescent="0.25">
      <c r="A905" s="1"/>
      <c r="B905" s="1"/>
      <c r="C905" s="1"/>
      <c r="D905" s="1"/>
      <c r="E905" s="1"/>
      <c r="F905" s="1"/>
      <c r="G905" s="1"/>
      <c r="H905" s="1"/>
      <c r="I905" s="1"/>
      <c r="J905" s="1"/>
      <c r="K905" s="1"/>
      <c r="L905" s="1"/>
      <c r="M905" s="1"/>
      <c r="N905" s="1"/>
      <c r="O905" s="1"/>
      <c r="P905" s="1"/>
      <c r="Q905" s="1"/>
      <c r="R905" s="1"/>
      <c r="S905" s="1"/>
      <c r="T905" s="1"/>
      <c r="U905" s="1"/>
    </row>
    <row r="906" spans="1:21" x14ac:dyDescent="0.25">
      <c r="A906" s="1"/>
      <c r="B906" s="1"/>
      <c r="C906" s="1"/>
      <c r="D906" s="1"/>
      <c r="E906" s="1"/>
      <c r="F906" s="1"/>
      <c r="G906" s="1"/>
      <c r="H906" s="1"/>
      <c r="I906" s="1"/>
      <c r="J906" s="1"/>
      <c r="K906" s="1"/>
      <c r="L906" s="1"/>
      <c r="M906" s="1"/>
      <c r="N906" s="1"/>
      <c r="O906" s="1"/>
      <c r="P906" s="1"/>
      <c r="Q906" s="1"/>
      <c r="R906" s="1"/>
      <c r="S906" s="1"/>
      <c r="T906" s="1"/>
      <c r="U906" s="1"/>
    </row>
    <row r="907" spans="1:21" x14ac:dyDescent="0.25">
      <c r="A907" s="1"/>
      <c r="B907" s="1"/>
      <c r="C907" s="1"/>
      <c r="D907" s="1"/>
      <c r="E907" s="1"/>
      <c r="F907" s="1"/>
      <c r="G907" s="1"/>
      <c r="H907" s="1"/>
      <c r="I907" s="1"/>
      <c r="J907" s="1"/>
      <c r="K907" s="1"/>
      <c r="L907" s="1"/>
      <c r="M907" s="1"/>
      <c r="N907" s="1"/>
      <c r="O907" s="1"/>
      <c r="P907" s="1"/>
      <c r="Q907" s="1"/>
      <c r="R907" s="1"/>
      <c r="S907" s="1"/>
      <c r="T907" s="1"/>
      <c r="U907" s="1"/>
    </row>
    <row r="908" spans="1:21" x14ac:dyDescent="0.25">
      <c r="A908" s="1"/>
      <c r="B908" s="1"/>
      <c r="C908" s="1"/>
      <c r="D908" s="1"/>
      <c r="E908" s="1"/>
      <c r="F908" s="1"/>
      <c r="G908" s="1"/>
      <c r="H908" s="1"/>
      <c r="I908" s="1"/>
      <c r="J908" s="1"/>
      <c r="K908" s="1"/>
      <c r="L908" s="1"/>
      <c r="M908" s="1"/>
      <c r="N908" s="1"/>
      <c r="O908" s="1"/>
      <c r="P908" s="1"/>
      <c r="Q908" s="1"/>
      <c r="R908" s="1"/>
      <c r="S908" s="1"/>
      <c r="T908" s="1"/>
      <c r="U908" s="1"/>
    </row>
    <row r="909" spans="1:21" x14ac:dyDescent="0.25">
      <c r="A909" s="1"/>
      <c r="B909" s="1"/>
      <c r="C909" s="1"/>
      <c r="D909" s="1"/>
      <c r="E909" s="1"/>
      <c r="F909" s="1"/>
      <c r="G909" s="1"/>
      <c r="H909" s="1"/>
      <c r="I909" s="1"/>
      <c r="J909" s="1"/>
      <c r="K909" s="1"/>
      <c r="L909" s="1"/>
      <c r="M909" s="1"/>
      <c r="N909" s="1"/>
      <c r="O909" s="1"/>
      <c r="P909" s="1"/>
      <c r="Q909" s="1"/>
      <c r="R909" s="1"/>
      <c r="S909" s="1"/>
      <c r="T909" s="1"/>
      <c r="U909" s="1"/>
    </row>
    <row r="910" spans="1:21" x14ac:dyDescent="0.25">
      <c r="A910" s="1"/>
      <c r="B910" s="1"/>
      <c r="C910" s="1"/>
      <c r="D910" s="1"/>
      <c r="E910" s="1"/>
      <c r="F910" s="1"/>
      <c r="G910" s="1"/>
      <c r="H910" s="1"/>
      <c r="I910" s="1"/>
      <c r="J910" s="1"/>
      <c r="K910" s="1"/>
      <c r="L910" s="1"/>
      <c r="M910" s="1"/>
      <c r="N910" s="1"/>
      <c r="O910" s="1"/>
      <c r="P910" s="1"/>
      <c r="Q910" s="1"/>
      <c r="R910" s="1"/>
      <c r="S910" s="1"/>
      <c r="T910" s="1"/>
      <c r="U910" s="1"/>
    </row>
    <row r="911" spans="1:21" x14ac:dyDescent="0.25">
      <c r="A911" s="1"/>
      <c r="B911" s="1"/>
      <c r="C911" s="1"/>
      <c r="D911" s="1"/>
      <c r="E911" s="1"/>
      <c r="F911" s="1"/>
      <c r="G911" s="1"/>
      <c r="H911" s="1"/>
      <c r="I911" s="1"/>
      <c r="J911" s="1"/>
      <c r="K911" s="1"/>
      <c r="L911" s="1"/>
      <c r="M911" s="1"/>
      <c r="N911" s="1"/>
      <c r="O911" s="1"/>
      <c r="P911" s="1"/>
      <c r="Q911" s="1"/>
      <c r="R911" s="1"/>
      <c r="S911" s="1"/>
      <c r="T911" s="1"/>
      <c r="U911" s="1"/>
    </row>
    <row r="912" spans="1:21" x14ac:dyDescent="0.25">
      <c r="A912" s="1"/>
      <c r="B912" s="1"/>
      <c r="C912" s="1"/>
      <c r="D912" s="1"/>
      <c r="E912" s="1"/>
      <c r="F912" s="1"/>
      <c r="G912" s="1"/>
      <c r="H912" s="1"/>
      <c r="I912" s="1"/>
      <c r="J912" s="1"/>
      <c r="K912" s="1"/>
      <c r="L912" s="1"/>
      <c r="M912" s="1"/>
      <c r="N912" s="1"/>
      <c r="O912" s="1"/>
      <c r="P912" s="1"/>
      <c r="Q912" s="1"/>
      <c r="R912" s="1"/>
      <c r="S912" s="1"/>
      <c r="T912" s="1"/>
      <c r="U912" s="1"/>
    </row>
    <row r="913" spans="1:21" x14ac:dyDescent="0.25">
      <c r="A913" s="1"/>
      <c r="B913" s="1"/>
      <c r="C913" s="1"/>
      <c r="D913" s="1"/>
      <c r="E913" s="1"/>
      <c r="F913" s="1"/>
      <c r="G913" s="1"/>
      <c r="H913" s="1"/>
      <c r="I913" s="1"/>
      <c r="J913" s="1"/>
      <c r="K913" s="1"/>
      <c r="L913" s="1"/>
      <c r="M913" s="1"/>
      <c r="N913" s="1"/>
      <c r="O913" s="1"/>
      <c r="P913" s="1"/>
      <c r="Q913" s="1"/>
      <c r="R913" s="1"/>
      <c r="S913" s="1"/>
      <c r="T913" s="1"/>
      <c r="U913" s="1"/>
    </row>
    <row r="914" spans="1:21" x14ac:dyDescent="0.25">
      <c r="A914" s="1"/>
      <c r="B914" s="1"/>
      <c r="C914" s="1"/>
      <c r="D914" s="1"/>
      <c r="E914" s="1"/>
      <c r="F914" s="1"/>
      <c r="G914" s="1"/>
      <c r="H914" s="1"/>
      <c r="I914" s="1"/>
      <c r="J914" s="1"/>
      <c r="K914" s="1"/>
      <c r="L914" s="1"/>
      <c r="M914" s="1"/>
      <c r="N914" s="1"/>
      <c r="O914" s="1"/>
      <c r="P914" s="1"/>
      <c r="Q914" s="1"/>
      <c r="R914" s="1"/>
      <c r="S914" s="1"/>
      <c r="T914" s="1"/>
      <c r="U914" s="1"/>
    </row>
    <row r="915" spans="1:21" x14ac:dyDescent="0.25">
      <c r="A915" s="1"/>
      <c r="B915" s="1"/>
      <c r="C915" s="1"/>
      <c r="D915" s="1"/>
      <c r="E915" s="1"/>
      <c r="F915" s="1"/>
      <c r="G915" s="1"/>
      <c r="H915" s="1"/>
      <c r="I915" s="1"/>
      <c r="J915" s="1"/>
      <c r="K915" s="1"/>
      <c r="L915" s="1"/>
      <c r="M915" s="1"/>
      <c r="N915" s="1"/>
      <c r="O915" s="1"/>
      <c r="P915" s="1"/>
      <c r="Q915" s="1"/>
      <c r="R915" s="1"/>
      <c r="S915" s="1"/>
      <c r="T915" s="1"/>
      <c r="U915" s="1"/>
    </row>
    <row r="916" spans="1:21" x14ac:dyDescent="0.25">
      <c r="A916" s="1"/>
      <c r="B916" s="1"/>
      <c r="C916" s="1"/>
      <c r="D916" s="1"/>
      <c r="E916" s="1"/>
      <c r="F916" s="1"/>
      <c r="G916" s="1"/>
      <c r="H916" s="1"/>
      <c r="I916" s="1"/>
      <c r="J916" s="1"/>
      <c r="K916" s="1"/>
      <c r="L916" s="1"/>
      <c r="M916" s="1"/>
      <c r="N916" s="1"/>
      <c r="O916" s="1"/>
      <c r="P916" s="1"/>
      <c r="Q916" s="1"/>
      <c r="R916" s="1"/>
      <c r="S916" s="1"/>
      <c r="T916" s="1"/>
      <c r="U916" s="1"/>
    </row>
    <row r="917" spans="1:21" x14ac:dyDescent="0.25">
      <c r="A917" s="1"/>
      <c r="B917" s="1"/>
      <c r="C917" s="1"/>
      <c r="D917" s="1"/>
      <c r="E917" s="1"/>
      <c r="F917" s="1"/>
      <c r="G917" s="1"/>
      <c r="H917" s="1"/>
      <c r="I917" s="1"/>
      <c r="J917" s="1"/>
      <c r="K917" s="1"/>
      <c r="L917" s="1"/>
      <c r="M917" s="1"/>
      <c r="N917" s="1"/>
      <c r="O917" s="1"/>
      <c r="P917" s="1"/>
      <c r="Q917" s="1"/>
      <c r="R917" s="1"/>
      <c r="S917" s="1"/>
      <c r="T917" s="1"/>
      <c r="U917" s="1"/>
    </row>
    <row r="918" spans="1:21" x14ac:dyDescent="0.25">
      <c r="A918" s="1"/>
      <c r="B918" s="1"/>
      <c r="C918" s="1"/>
      <c r="D918" s="1"/>
      <c r="E918" s="1"/>
      <c r="F918" s="1"/>
      <c r="G918" s="1"/>
      <c r="H918" s="1"/>
      <c r="I918" s="1"/>
      <c r="J918" s="1"/>
      <c r="K918" s="1"/>
      <c r="L918" s="1"/>
      <c r="M918" s="1"/>
      <c r="N918" s="1"/>
      <c r="O918" s="1"/>
      <c r="P918" s="1"/>
      <c r="Q918" s="1"/>
      <c r="R918" s="1"/>
      <c r="S918" s="1"/>
      <c r="T918" s="1"/>
      <c r="U918" s="1"/>
    </row>
    <row r="919" spans="1:21" x14ac:dyDescent="0.25">
      <c r="A919" s="1"/>
      <c r="B919" s="1"/>
      <c r="C919" s="1"/>
      <c r="D919" s="1"/>
      <c r="E919" s="1"/>
      <c r="F919" s="1"/>
      <c r="G919" s="1"/>
      <c r="H919" s="1"/>
      <c r="I919" s="1"/>
      <c r="J919" s="1"/>
      <c r="K919" s="1"/>
      <c r="L919" s="1"/>
      <c r="M919" s="1"/>
      <c r="N919" s="1"/>
      <c r="O919" s="1"/>
      <c r="P919" s="1"/>
      <c r="Q919" s="1"/>
      <c r="R919" s="1"/>
      <c r="S919" s="1"/>
      <c r="T919" s="1"/>
      <c r="U919" s="1"/>
    </row>
    <row r="920" spans="1:21" x14ac:dyDescent="0.25">
      <c r="A920" s="1"/>
      <c r="B920" s="1"/>
      <c r="C920" s="1"/>
      <c r="D920" s="1"/>
      <c r="E920" s="1"/>
      <c r="F920" s="1"/>
      <c r="G920" s="1"/>
      <c r="H920" s="1"/>
      <c r="I920" s="1"/>
      <c r="J920" s="1"/>
      <c r="K920" s="1"/>
      <c r="L920" s="1"/>
      <c r="M920" s="1"/>
      <c r="N920" s="1"/>
      <c r="O920" s="1"/>
      <c r="P920" s="1"/>
      <c r="Q920" s="1"/>
      <c r="R920" s="1"/>
      <c r="S920" s="1"/>
      <c r="T920" s="1"/>
      <c r="U920" s="1"/>
    </row>
    <row r="921" spans="1:21" x14ac:dyDescent="0.25">
      <c r="A921" s="1"/>
      <c r="B921" s="1"/>
      <c r="C921" s="1"/>
      <c r="D921" s="1"/>
      <c r="E921" s="1"/>
      <c r="F921" s="1"/>
      <c r="G921" s="1"/>
      <c r="H921" s="1"/>
      <c r="I921" s="1"/>
      <c r="J921" s="1"/>
      <c r="K921" s="1"/>
      <c r="L921" s="1"/>
      <c r="M921" s="1"/>
      <c r="N921" s="1"/>
      <c r="O921" s="1"/>
      <c r="P921" s="1"/>
      <c r="Q921" s="1"/>
      <c r="R921" s="1"/>
      <c r="S921" s="1"/>
      <c r="T921" s="1"/>
      <c r="U921" s="1"/>
    </row>
    <row r="922" spans="1:21" x14ac:dyDescent="0.25">
      <c r="A922" s="1"/>
      <c r="B922" s="1"/>
      <c r="C922" s="1"/>
      <c r="D922" s="1"/>
      <c r="E922" s="1"/>
      <c r="F922" s="1"/>
      <c r="G922" s="1"/>
      <c r="H922" s="1"/>
      <c r="I922" s="1"/>
      <c r="J922" s="1"/>
      <c r="K922" s="1"/>
      <c r="L922" s="1"/>
      <c r="M922" s="1"/>
      <c r="N922" s="1"/>
      <c r="O922" s="1"/>
      <c r="P922" s="1"/>
      <c r="Q922" s="1"/>
      <c r="R922" s="1"/>
      <c r="S922" s="1"/>
      <c r="T922" s="1"/>
      <c r="U922" s="1"/>
    </row>
    <row r="923" spans="1:21" x14ac:dyDescent="0.25">
      <c r="A923" s="1"/>
      <c r="B923" s="1"/>
      <c r="C923" s="1"/>
      <c r="D923" s="1"/>
      <c r="E923" s="1"/>
      <c r="F923" s="1"/>
      <c r="G923" s="1"/>
      <c r="H923" s="1"/>
      <c r="I923" s="1"/>
      <c r="J923" s="1"/>
      <c r="K923" s="1"/>
      <c r="L923" s="1"/>
      <c r="M923" s="1"/>
      <c r="N923" s="1"/>
      <c r="O923" s="1"/>
      <c r="P923" s="1"/>
      <c r="Q923" s="1"/>
      <c r="R923" s="1"/>
      <c r="S923" s="1"/>
      <c r="T923" s="1"/>
      <c r="U923" s="1"/>
    </row>
    <row r="924" spans="1:21" x14ac:dyDescent="0.25">
      <c r="A924" s="1"/>
      <c r="B924" s="1"/>
      <c r="C924" s="1"/>
      <c r="D924" s="1"/>
      <c r="E924" s="1"/>
      <c r="F924" s="1"/>
      <c r="G924" s="1"/>
      <c r="H924" s="1"/>
      <c r="I924" s="1"/>
      <c r="J924" s="1"/>
      <c r="K924" s="1"/>
      <c r="L924" s="1"/>
      <c r="M924" s="1"/>
      <c r="N924" s="1"/>
      <c r="O924" s="1"/>
      <c r="P924" s="1"/>
      <c r="Q924" s="1"/>
      <c r="R924" s="1"/>
      <c r="S924" s="1"/>
      <c r="T924" s="1"/>
      <c r="U924" s="1"/>
    </row>
    <row r="925" spans="1:21" x14ac:dyDescent="0.25">
      <c r="A925" s="1"/>
      <c r="B925" s="1"/>
      <c r="C925" s="1"/>
      <c r="D925" s="1"/>
      <c r="E925" s="1"/>
      <c r="F925" s="1"/>
      <c r="G925" s="1"/>
      <c r="H925" s="1"/>
      <c r="I925" s="1"/>
      <c r="J925" s="1"/>
      <c r="K925" s="1"/>
      <c r="L925" s="1"/>
      <c r="M925" s="1"/>
      <c r="N925" s="1"/>
      <c r="O925" s="1"/>
      <c r="P925" s="1"/>
      <c r="Q925" s="1"/>
      <c r="R925" s="1"/>
      <c r="S925" s="1"/>
      <c r="T925" s="1"/>
      <c r="U925" s="1"/>
    </row>
    <row r="926" spans="1:21" x14ac:dyDescent="0.25">
      <c r="A926" s="1"/>
      <c r="B926" s="1"/>
      <c r="C926" s="1"/>
      <c r="D926" s="1"/>
      <c r="E926" s="1"/>
      <c r="F926" s="1"/>
      <c r="G926" s="1"/>
      <c r="H926" s="1"/>
      <c r="I926" s="1"/>
      <c r="J926" s="1"/>
      <c r="K926" s="1"/>
      <c r="L926" s="1"/>
      <c r="M926" s="1"/>
      <c r="N926" s="1"/>
      <c r="O926" s="1"/>
      <c r="P926" s="1"/>
      <c r="Q926" s="1"/>
      <c r="R926" s="1"/>
      <c r="S926" s="1"/>
      <c r="T926" s="1"/>
      <c r="U926" s="1"/>
    </row>
    <row r="927" spans="1:21" x14ac:dyDescent="0.25">
      <c r="A927" s="1"/>
      <c r="B927" s="1"/>
      <c r="C927" s="1"/>
      <c r="D927" s="1"/>
      <c r="E927" s="1"/>
      <c r="F927" s="1"/>
      <c r="G927" s="1"/>
      <c r="H927" s="1"/>
      <c r="I927" s="1"/>
      <c r="J927" s="1"/>
      <c r="K927" s="1"/>
      <c r="L927" s="1"/>
      <c r="M927" s="1"/>
      <c r="N927" s="1"/>
      <c r="O927" s="1"/>
      <c r="P927" s="1"/>
      <c r="Q927" s="1"/>
      <c r="R927" s="1"/>
      <c r="S927" s="1"/>
      <c r="T927" s="1"/>
      <c r="U927" s="1"/>
    </row>
    <row r="928" spans="1:21" x14ac:dyDescent="0.25">
      <c r="A928" s="1"/>
      <c r="B928" s="1"/>
      <c r="C928" s="1"/>
      <c r="D928" s="1"/>
      <c r="E928" s="1"/>
      <c r="F928" s="1"/>
      <c r="G928" s="1"/>
      <c r="H928" s="1"/>
      <c r="I928" s="1"/>
      <c r="J928" s="1"/>
      <c r="K928" s="1"/>
      <c r="L928" s="1"/>
      <c r="M928" s="1"/>
      <c r="N928" s="1"/>
      <c r="O928" s="1"/>
      <c r="P928" s="1"/>
      <c r="Q928" s="1"/>
      <c r="R928" s="1"/>
      <c r="S928" s="1"/>
      <c r="T928" s="1"/>
      <c r="U928" s="1"/>
    </row>
    <row r="929" spans="1:21" x14ac:dyDescent="0.25">
      <c r="A929" s="1"/>
      <c r="B929" s="1"/>
      <c r="C929" s="1"/>
      <c r="D929" s="1"/>
      <c r="E929" s="1"/>
      <c r="F929" s="1"/>
      <c r="G929" s="1"/>
      <c r="H929" s="1"/>
      <c r="I929" s="1"/>
      <c r="J929" s="1"/>
      <c r="K929" s="1"/>
      <c r="L929" s="1"/>
      <c r="M929" s="1"/>
      <c r="N929" s="1"/>
      <c r="O929" s="1"/>
      <c r="P929" s="1"/>
      <c r="Q929" s="1"/>
      <c r="R929" s="1"/>
      <c r="S929" s="1"/>
      <c r="T929" s="1"/>
      <c r="U929" s="1"/>
    </row>
    <row r="930" spans="1:21" x14ac:dyDescent="0.25">
      <c r="A930" s="1"/>
      <c r="B930" s="1"/>
      <c r="C930" s="1"/>
      <c r="D930" s="1"/>
      <c r="E930" s="1"/>
      <c r="F930" s="1"/>
      <c r="G930" s="1"/>
      <c r="H930" s="1"/>
      <c r="I930" s="1"/>
      <c r="J930" s="1"/>
      <c r="K930" s="1"/>
      <c r="L930" s="1"/>
      <c r="M930" s="1"/>
      <c r="N930" s="1"/>
      <c r="O930" s="1"/>
      <c r="P930" s="1"/>
      <c r="Q930" s="1"/>
      <c r="R930" s="1"/>
      <c r="S930" s="1"/>
      <c r="T930" s="1"/>
      <c r="U930" s="1"/>
    </row>
    <row r="931" spans="1:21" x14ac:dyDescent="0.25">
      <c r="A931" s="1"/>
      <c r="B931" s="1"/>
      <c r="C931" s="1"/>
      <c r="D931" s="1"/>
      <c r="E931" s="1"/>
      <c r="F931" s="1"/>
      <c r="G931" s="1"/>
      <c r="H931" s="1"/>
      <c r="I931" s="1"/>
      <c r="J931" s="1"/>
      <c r="K931" s="1"/>
      <c r="L931" s="1"/>
      <c r="M931" s="1"/>
      <c r="N931" s="1"/>
      <c r="O931" s="1"/>
      <c r="P931" s="1"/>
      <c r="Q931" s="1"/>
      <c r="R931" s="1"/>
      <c r="S931" s="1"/>
      <c r="T931" s="1"/>
      <c r="U931" s="1"/>
    </row>
    <row r="932" spans="1:21" x14ac:dyDescent="0.25">
      <c r="A932" s="1"/>
      <c r="B932" s="1"/>
      <c r="C932" s="1"/>
      <c r="D932" s="1"/>
      <c r="E932" s="1"/>
      <c r="F932" s="1"/>
      <c r="G932" s="1"/>
      <c r="H932" s="1"/>
      <c r="I932" s="1"/>
      <c r="J932" s="1"/>
      <c r="K932" s="1"/>
      <c r="L932" s="1"/>
      <c r="M932" s="1"/>
      <c r="N932" s="1"/>
      <c r="O932" s="1"/>
      <c r="P932" s="1"/>
      <c r="Q932" s="1"/>
      <c r="R932" s="1"/>
      <c r="S932" s="1"/>
      <c r="T932" s="1"/>
      <c r="U932" s="1"/>
    </row>
    <row r="933" spans="1:21" x14ac:dyDescent="0.25">
      <c r="A933" s="1"/>
      <c r="B933" s="1"/>
      <c r="C933" s="1"/>
      <c r="D933" s="1"/>
      <c r="E933" s="1"/>
      <c r="F933" s="1"/>
      <c r="G933" s="1"/>
      <c r="H933" s="1"/>
      <c r="I933" s="1"/>
      <c r="J933" s="1"/>
      <c r="K933" s="1"/>
      <c r="L933" s="1"/>
      <c r="M933" s="1"/>
      <c r="N933" s="1"/>
      <c r="O933" s="1"/>
      <c r="P933" s="1"/>
      <c r="Q933" s="1"/>
      <c r="R933" s="1"/>
      <c r="S933" s="1"/>
      <c r="T933" s="1"/>
      <c r="U933" s="1"/>
    </row>
    <row r="934" spans="1:21" x14ac:dyDescent="0.25">
      <c r="A934" s="1"/>
      <c r="B934" s="1"/>
      <c r="C934" s="1"/>
      <c r="D934" s="1"/>
      <c r="E934" s="1"/>
      <c r="F934" s="1"/>
      <c r="G934" s="1"/>
      <c r="H934" s="1"/>
      <c r="I934" s="1"/>
      <c r="J934" s="1"/>
      <c r="K934" s="1"/>
      <c r="L934" s="1"/>
      <c r="M934" s="1"/>
      <c r="N934" s="1"/>
      <c r="O934" s="1"/>
      <c r="P934" s="1"/>
      <c r="Q934" s="1"/>
      <c r="R934" s="1"/>
      <c r="S934" s="1"/>
      <c r="T934" s="1"/>
      <c r="U934" s="1"/>
    </row>
    <row r="935" spans="1:21" x14ac:dyDescent="0.25">
      <c r="A935" s="1"/>
      <c r="B935" s="1"/>
      <c r="C935" s="1"/>
      <c r="D935" s="1"/>
      <c r="E935" s="1"/>
      <c r="F935" s="1"/>
      <c r="G935" s="1"/>
      <c r="H935" s="1"/>
      <c r="I935" s="1"/>
      <c r="J935" s="1"/>
      <c r="K935" s="1"/>
      <c r="L935" s="1"/>
      <c r="M935" s="1"/>
      <c r="N935" s="1"/>
      <c r="O935" s="1"/>
      <c r="P935" s="1"/>
      <c r="Q935" s="1"/>
      <c r="R935" s="1"/>
      <c r="S935" s="1"/>
      <c r="T935" s="1"/>
      <c r="U935" s="1"/>
    </row>
    <row r="936" spans="1:21" x14ac:dyDescent="0.25">
      <c r="A936" s="1"/>
      <c r="B936" s="1"/>
      <c r="C936" s="1"/>
      <c r="D936" s="1"/>
      <c r="E936" s="1"/>
      <c r="F936" s="1"/>
      <c r="G936" s="1"/>
      <c r="H936" s="1"/>
      <c r="I936" s="1"/>
      <c r="J936" s="1"/>
      <c r="K936" s="1"/>
      <c r="L936" s="1"/>
      <c r="M936" s="1"/>
      <c r="N936" s="1"/>
      <c r="O936" s="1"/>
      <c r="P936" s="1"/>
      <c r="Q936" s="1"/>
      <c r="R936" s="1"/>
      <c r="S936" s="1"/>
      <c r="T936" s="1"/>
      <c r="U936" s="1"/>
    </row>
    <row r="937" spans="1:21" x14ac:dyDescent="0.25">
      <c r="A937" s="1"/>
      <c r="B937" s="1"/>
      <c r="C937" s="1"/>
      <c r="D937" s="1"/>
      <c r="E937" s="1"/>
      <c r="F937" s="1"/>
      <c r="G937" s="1"/>
      <c r="H937" s="1"/>
      <c r="I937" s="1"/>
      <c r="J937" s="1"/>
      <c r="K937" s="1"/>
      <c r="L937" s="1"/>
      <c r="M937" s="1"/>
      <c r="N937" s="1"/>
      <c r="O937" s="1"/>
      <c r="P937" s="1"/>
      <c r="Q937" s="1"/>
      <c r="R937" s="1"/>
      <c r="S937" s="1"/>
      <c r="T937" s="1"/>
      <c r="U937" s="1"/>
    </row>
    <row r="938" spans="1:21" x14ac:dyDescent="0.25">
      <c r="A938" s="1"/>
      <c r="B938" s="1"/>
      <c r="C938" s="1"/>
      <c r="D938" s="1"/>
      <c r="E938" s="1"/>
      <c r="F938" s="1"/>
      <c r="G938" s="1"/>
      <c r="H938" s="1"/>
      <c r="I938" s="1"/>
      <c r="J938" s="1"/>
      <c r="K938" s="1"/>
      <c r="L938" s="1"/>
      <c r="M938" s="1"/>
      <c r="N938" s="1"/>
      <c r="O938" s="1"/>
      <c r="P938" s="1"/>
      <c r="Q938" s="1"/>
      <c r="R938" s="1"/>
      <c r="S938" s="1"/>
      <c r="T938" s="1"/>
      <c r="U938" s="1"/>
    </row>
    <row r="939" spans="1:21" x14ac:dyDescent="0.25">
      <c r="A939" s="1"/>
      <c r="B939" s="1"/>
      <c r="C939" s="1"/>
      <c r="D939" s="1"/>
      <c r="E939" s="1"/>
      <c r="F939" s="1"/>
      <c r="G939" s="1"/>
      <c r="H939" s="1"/>
      <c r="I939" s="1"/>
      <c r="J939" s="1"/>
      <c r="K939" s="1"/>
      <c r="L939" s="1"/>
      <c r="M939" s="1"/>
      <c r="N939" s="1"/>
      <c r="O939" s="1"/>
      <c r="P939" s="1"/>
      <c r="Q939" s="1"/>
      <c r="R939" s="1"/>
      <c r="S939" s="1"/>
      <c r="T939" s="1"/>
      <c r="U939" s="1"/>
    </row>
    <row r="940" spans="1:21" x14ac:dyDescent="0.25">
      <c r="A940" s="1"/>
      <c r="B940" s="1"/>
      <c r="C940" s="1"/>
      <c r="D940" s="1"/>
      <c r="E940" s="1"/>
      <c r="F940" s="1"/>
      <c r="G940" s="1"/>
      <c r="H940" s="1"/>
      <c r="I940" s="1"/>
      <c r="J940" s="1"/>
      <c r="K940" s="1"/>
      <c r="L940" s="1"/>
      <c r="M940" s="1"/>
      <c r="N940" s="1"/>
      <c r="O940" s="1"/>
      <c r="P940" s="1"/>
      <c r="Q940" s="1"/>
      <c r="R940" s="1"/>
      <c r="S940" s="1"/>
      <c r="T940" s="1"/>
      <c r="U940" s="1"/>
    </row>
    <row r="941" spans="1:21" x14ac:dyDescent="0.25">
      <c r="A941" s="1"/>
      <c r="B941" s="1"/>
      <c r="C941" s="1"/>
      <c r="D941" s="1"/>
      <c r="E941" s="1"/>
      <c r="F941" s="1"/>
      <c r="G941" s="1"/>
      <c r="H941" s="1"/>
      <c r="I941" s="1"/>
      <c r="J941" s="1"/>
      <c r="K941" s="1"/>
      <c r="L941" s="1"/>
      <c r="M941" s="1"/>
      <c r="N941" s="1"/>
      <c r="O941" s="1"/>
      <c r="P941" s="1"/>
      <c r="Q941" s="1"/>
      <c r="R941" s="1"/>
      <c r="S941" s="1"/>
      <c r="T941" s="1"/>
      <c r="U941" s="1"/>
    </row>
    <row r="942" spans="1:21" x14ac:dyDescent="0.25">
      <c r="A942" s="1"/>
      <c r="B942" s="1"/>
      <c r="C942" s="1"/>
      <c r="D942" s="1"/>
      <c r="E942" s="1"/>
      <c r="F942" s="1"/>
      <c r="G942" s="1"/>
      <c r="H942" s="1"/>
      <c r="I942" s="1"/>
      <c r="J942" s="1"/>
      <c r="K942" s="1"/>
      <c r="L942" s="1"/>
      <c r="M942" s="1"/>
      <c r="N942" s="1"/>
      <c r="O942" s="1"/>
      <c r="P942" s="1"/>
      <c r="Q942" s="1"/>
      <c r="R942" s="1"/>
      <c r="S942" s="1"/>
      <c r="T942" s="1"/>
      <c r="U942" s="1"/>
    </row>
    <row r="943" spans="1:21" x14ac:dyDescent="0.25">
      <c r="A943" s="1"/>
      <c r="B943" s="1"/>
      <c r="C943" s="1"/>
      <c r="D943" s="1"/>
      <c r="E943" s="1"/>
      <c r="F943" s="1"/>
      <c r="G943" s="1"/>
      <c r="H943" s="1"/>
      <c r="I943" s="1"/>
      <c r="J943" s="1"/>
      <c r="K943" s="1"/>
      <c r="L943" s="1"/>
      <c r="M943" s="1"/>
      <c r="N943" s="1"/>
      <c r="O943" s="1"/>
      <c r="P943" s="1"/>
      <c r="Q943" s="1"/>
      <c r="R943" s="1"/>
      <c r="S943" s="1"/>
      <c r="T943" s="1"/>
      <c r="U943" s="1"/>
    </row>
    <row r="944" spans="1:21" x14ac:dyDescent="0.25">
      <c r="A944" s="1"/>
      <c r="B944" s="1"/>
      <c r="C944" s="1"/>
      <c r="D944" s="1"/>
      <c r="E944" s="1"/>
      <c r="F944" s="1"/>
      <c r="G944" s="1"/>
      <c r="H944" s="1"/>
      <c r="I944" s="1"/>
      <c r="J944" s="1"/>
      <c r="K944" s="1"/>
      <c r="L944" s="1"/>
      <c r="M944" s="1"/>
      <c r="N944" s="1"/>
      <c r="O944" s="1"/>
      <c r="P944" s="1"/>
      <c r="Q944" s="1"/>
      <c r="R944" s="1"/>
      <c r="S944" s="1"/>
      <c r="T944" s="1"/>
      <c r="U944" s="1"/>
    </row>
    <row r="945" spans="1:21" x14ac:dyDescent="0.25">
      <c r="A945" s="1"/>
      <c r="B945" s="1"/>
      <c r="C945" s="1"/>
      <c r="D945" s="1"/>
      <c r="E945" s="1"/>
      <c r="F945" s="1"/>
      <c r="G945" s="1"/>
      <c r="H945" s="1"/>
      <c r="I945" s="1"/>
      <c r="J945" s="1"/>
      <c r="K945" s="1"/>
      <c r="L945" s="1"/>
      <c r="M945" s="1"/>
      <c r="N945" s="1"/>
      <c r="O945" s="1"/>
      <c r="P945" s="1"/>
      <c r="Q945" s="1"/>
      <c r="R945" s="1"/>
      <c r="S945" s="1"/>
      <c r="T945" s="1"/>
      <c r="U945" s="1"/>
    </row>
    <row r="946" spans="1:21" x14ac:dyDescent="0.25">
      <c r="A946" s="1"/>
      <c r="B946" s="1"/>
      <c r="C946" s="1"/>
      <c r="D946" s="1"/>
      <c r="E946" s="1"/>
      <c r="F946" s="1"/>
      <c r="G946" s="1"/>
      <c r="H946" s="1"/>
      <c r="I946" s="1"/>
      <c r="J946" s="1"/>
      <c r="K946" s="1"/>
      <c r="L946" s="1"/>
      <c r="M946" s="1"/>
      <c r="N946" s="1"/>
      <c r="O946" s="1"/>
      <c r="P946" s="1"/>
      <c r="Q946" s="1"/>
      <c r="R946" s="1"/>
      <c r="S946" s="1"/>
      <c r="T946" s="1"/>
      <c r="U946" s="1"/>
    </row>
    <row r="947" spans="1:21" x14ac:dyDescent="0.25">
      <c r="A947" s="1"/>
      <c r="B947" s="1"/>
      <c r="C947" s="1"/>
      <c r="D947" s="1"/>
      <c r="E947" s="1"/>
      <c r="F947" s="1"/>
      <c r="G947" s="1"/>
      <c r="H947" s="1"/>
      <c r="I947" s="1"/>
      <c r="J947" s="1"/>
      <c r="K947" s="1"/>
      <c r="L947" s="1"/>
      <c r="M947" s="1"/>
      <c r="N947" s="1"/>
      <c r="O947" s="1"/>
      <c r="P947" s="1"/>
      <c r="Q947" s="1"/>
      <c r="R947" s="1"/>
      <c r="S947" s="1"/>
      <c r="T947" s="1"/>
      <c r="U947" s="1"/>
    </row>
    <row r="948" spans="1:21" x14ac:dyDescent="0.25">
      <c r="A948" s="1"/>
      <c r="B948" s="1"/>
      <c r="C948" s="1"/>
      <c r="D948" s="1"/>
      <c r="E948" s="1"/>
      <c r="F948" s="1"/>
      <c r="G948" s="1"/>
      <c r="H948" s="1"/>
      <c r="I948" s="1"/>
      <c r="J948" s="1"/>
      <c r="K948" s="1"/>
      <c r="L948" s="1"/>
      <c r="M948" s="1"/>
      <c r="N948" s="1"/>
      <c r="O948" s="1"/>
      <c r="P948" s="1"/>
      <c r="Q948" s="1"/>
      <c r="R948" s="1"/>
      <c r="S948" s="1"/>
      <c r="T948" s="1"/>
      <c r="U948" s="1"/>
    </row>
    <row r="949" spans="1:21" x14ac:dyDescent="0.25">
      <c r="A949" s="1"/>
      <c r="B949" s="1"/>
      <c r="C949" s="1"/>
      <c r="D949" s="1"/>
      <c r="E949" s="1"/>
      <c r="F949" s="1"/>
      <c r="G949" s="1"/>
      <c r="H949" s="1"/>
      <c r="I949" s="1"/>
      <c r="J949" s="1"/>
      <c r="K949" s="1"/>
      <c r="L949" s="1"/>
      <c r="M949" s="1"/>
      <c r="N949" s="1"/>
      <c r="O949" s="1"/>
      <c r="P949" s="1"/>
      <c r="Q949" s="1"/>
      <c r="R949" s="1"/>
      <c r="S949" s="1"/>
      <c r="T949" s="1"/>
      <c r="U949" s="1"/>
    </row>
    <row r="950" spans="1:21" x14ac:dyDescent="0.25">
      <c r="A950" s="1"/>
      <c r="B950" s="1"/>
      <c r="C950" s="1"/>
      <c r="D950" s="1"/>
      <c r="E950" s="1"/>
      <c r="F950" s="1"/>
      <c r="G950" s="1"/>
      <c r="H950" s="1"/>
      <c r="I950" s="1"/>
      <c r="J950" s="1"/>
      <c r="K950" s="1"/>
      <c r="L950" s="1"/>
      <c r="M950" s="1"/>
      <c r="N950" s="1"/>
      <c r="O950" s="1"/>
      <c r="P950" s="1"/>
      <c r="Q950" s="1"/>
      <c r="R950" s="1"/>
      <c r="S950" s="1"/>
      <c r="T950" s="1"/>
      <c r="U950" s="1"/>
    </row>
    <row r="951" spans="1:21" x14ac:dyDescent="0.25">
      <c r="A951" s="1"/>
      <c r="B951" s="1"/>
      <c r="C951" s="1"/>
      <c r="D951" s="1"/>
      <c r="E951" s="1"/>
      <c r="F951" s="1"/>
      <c r="G951" s="1"/>
      <c r="H951" s="1"/>
      <c r="I951" s="1"/>
      <c r="J951" s="1"/>
      <c r="K951" s="1"/>
      <c r="L951" s="1"/>
      <c r="M951" s="1"/>
      <c r="N951" s="1"/>
      <c r="O951" s="1"/>
      <c r="P951" s="1"/>
      <c r="Q951" s="1"/>
      <c r="R951" s="1"/>
      <c r="S951" s="1"/>
      <c r="T951" s="1"/>
      <c r="U951" s="1"/>
    </row>
    <row r="952" spans="1:21" x14ac:dyDescent="0.25">
      <c r="A952" s="1"/>
      <c r="B952" s="1"/>
      <c r="C952" s="1"/>
      <c r="D952" s="1"/>
      <c r="E952" s="1"/>
      <c r="F952" s="1"/>
      <c r="G952" s="1"/>
      <c r="H952" s="1"/>
      <c r="I952" s="1"/>
      <c r="J952" s="1"/>
      <c r="K952" s="1"/>
      <c r="L952" s="1"/>
      <c r="M952" s="1"/>
      <c r="N952" s="1"/>
      <c r="O952" s="1"/>
      <c r="P952" s="1"/>
      <c r="Q952" s="1"/>
      <c r="R952" s="1"/>
      <c r="S952" s="1"/>
      <c r="T952" s="1"/>
      <c r="U952" s="1"/>
    </row>
    <row r="953" spans="1:21" x14ac:dyDescent="0.25">
      <c r="A953" s="1"/>
      <c r="B953" s="1"/>
      <c r="C953" s="1"/>
      <c r="D953" s="1"/>
      <c r="E953" s="1"/>
      <c r="F953" s="1"/>
      <c r="G953" s="1"/>
      <c r="H953" s="1"/>
      <c r="I953" s="1"/>
      <c r="J953" s="1"/>
      <c r="K953" s="1"/>
      <c r="L953" s="1"/>
      <c r="M953" s="1"/>
      <c r="N953" s="1"/>
      <c r="O953" s="1"/>
      <c r="P953" s="1"/>
      <c r="Q953" s="1"/>
      <c r="R953" s="1"/>
      <c r="S953" s="1"/>
      <c r="T953" s="1"/>
      <c r="U953" s="1"/>
    </row>
    <row r="954" spans="1:21" x14ac:dyDescent="0.25">
      <c r="A954" s="1"/>
      <c r="B954" s="1"/>
      <c r="C954" s="1"/>
      <c r="D954" s="1"/>
      <c r="E954" s="1"/>
      <c r="F954" s="1"/>
      <c r="G954" s="1"/>
      <c r="H954" s="1"/>
      <c r="I954" s="1"/>
      <c r="J954" s="1"/>
      <c r="K954" s="1"/>
      <c r="L954" s="1"/>
      <c r="M954" s="1"/>
      <c r="N954" s="1"/>
      <c r="O954" s="1"/>
      <c r="P954" s="1"/>
      <c r="Q954" s="1"/>
      <c r="R954" s="1"/>
      <c r="S954" s="1"/>
      <c r="T954" s="1"/>
      <c r="U954" s="1"/>
    </row>
    <row r="955" spans="1:21" x14ac:dyDescent="0.25">
      <c r="A955" s="1"/>
      <c r="B955" s="1"/>
      <c r="C955" s="1"/>
      <c r="D955" s="1"/>
      <c r="E955" s="1"/>
      <c r="F955" s="1"/>
      <c r="G955" s="1"/>
      <c r="H955" s="1"/>
      <c r="I955" s="1"/>
      <c r="J955" s="1"/>
      <c r="K955" s="1"/>
      <c r="L955" s="1"/>
      <c r="M955" s="1"/>
      <c r="N955" s="1"/>
      <c r="O955" s="1"/>
      <c r="P955" s="1"/>
      <c r="Q955" s="1"/>
      <c r="R955" s="1"/>
      <c r="S955" s="1"/>
      <c r="T955" s="1"/>
      <c r="U955" s="1"/>
    </row>
    <row r="956" spans="1:21" x14ac:dyDescent="0.25">
      <c r="A956" s="1"/>
      <c r="B956" s="1"/>
      <c r="C956" s="1"/>
      <c r="D956" s="1"/>
      <c r="E956" s="1"/>
      <c r="F956" s="1"/>
      <c r="G956" s="1"/>
      <c r="H956" s="1"/>
      <c r="I956" s="1"/>
      <c r="J956" s="1"/>
      <c r="K956" s="1"/>
      <c r="L956" s="1"/>
      <c r="M956" s="1"/>
      <c r="N956" s="1"/>
      <c r="O956" s="1"/>
      <c r="P956" s="1"/>
      <c r="Q956" s="1"/>
      <c r="R956" s="1"/>
      <c r="S956" s="1"/>
      <c r="T956" s="1"/>
      <c r="U956" s="1"/>
    </row>
    <row r="957" spans="1:21" x14ac:dyDescent="0.25">
      <c r="A957" s="1"/>
      <c r="B957" s="1"/>
      <c r="C957" s="1"/>
      <c r="D957" s="1"/>
      <c r="E957" s="1"/>
      <c r="F957" s="1"/>
      <c r="G957" s="1"/>
      <c r="H957" s="1"/>
      <c r="I957" s="1"/>
      <c r="J957" s="1"/>
      <c r="K957" s="1"/>
      <c r="L957" s="1"/>
      <c r="M957" s="1"/>
      <c r="N957" s="1"/>
      <c r="O957" s="1"/>
      <c r="P957" s="1"/>
      <c r="Q957" s="1"/>
      <c r="R957" s="1"/>
      <c r="S957" s="1"/>
      <c r="T957" s="1"/>
      <c r="U957" s="1"/>
    </row>
    <row r="958" spans="1:21" x14ac:dyDescent="0.25">
      <c r="A958" s="1"/>
      <c r="B958" s="1"/>
      <c r="C958" s="1"/>
      <c r="D958" s="1"/>
      <c r="E958" s="1"/>
      <c r="F958" s="1"/>
      <c r="G958" s="1"/>
      <c r="H958" s="1"/>
      <c r="I958" s="1"/>
      <c r="J958" s="1"/>
      <c r="K958" s="1"/>
      <c r="L958" s="1"/>
      <c r="M958" s="1"/>
      <c r="N958" s="1"/>
      <c r="O958" s="1"/>
      <c r="P958" s="1"/>
      <c r="Q958" s="1"/>
      <c r="R958" s="1"/>
      <c r="S958" s="1"/>
      <c r="T958" s="1"/>
      <c r="U958" s="1"/>
    </row>
    <row r="959" spans="1:21" x14ac:dyDescent="0.25">
      <c r="A959" s="1"/>
      <c r="B959" s="1"/>
      <c r="C959" s="1"/>
      <c r="D959" s="1"/>
      <c r="E959" s="1"/>
      <c r="F959" s="1"/>
      <c r="G959" s="1"/>
      <c r="H959" s="1"/>
      <c r="I959" s="1"/>
      <c r="J959" s="1"/>
      <c r="K959" s="1"/>
      <c r="L959" s="1"/>
      <c r="M959" s="1"/>
      <c r="N959" s="1"/>
      <c r="O959" s="1"/>
      <c r="P959" s="1"/>
      <c r="Q959" s="1"/>
      <c r="R959" s="1"/>
      <c r="S959" s="1"/>
      <c r="T959" s="1"/>
      <c r="U959" s="1"/>
    </row>
    <row r="960" spans="1:21" x14ac:dyDescent="0.25">
      <c r="A960" s="1"/>
      <c r="B960" s="1"/>
      <c r="C960" s="1"/>
      <c r="D960" s="1"/>
      <c r="E960" s="1"/>
      <c r="F960" s="1"/>
      <c r="G960" s="1"/>
      <c r="H960" s="1"/>
      <c r="I960" s="1"/>
      <c r="J960" s="1"/>
      <c r="K960" s="1"/>
      <c r="L960" s="1"/>
      <c r="M960" s="1"/>
      <c r="N960" s="1"/>
      <c r="O960" s="1"/>
      <c r="P960" s="1"/>
      <c r="Q960" s="1"/>
      <c r="R960" s="1"/>
      <c r="S960" s="1"/>
      <c r="T960" s="1"/>
      <c r="U960" s="1"/>
    </row>
    <row r="961" spans="1:21" x14ac:dyDescent="0.25">
      <c r="A961" s="1"/>
      <c r="B961" s="1"/>
      <c r="C961" s="1"/>
      <c r="D961" s="1"/>
      <c r="E961" s="1"/>
      <c r="F961" s="1"/>
      <c r="G961" s="1"/>
      <c r="H961" s="1"/>
      <c r="I961" s="1"/>
      <c r="J961" s="1"/>
      <c r="K961" s="1"/>
      <c r="L961" s="1"/>
      <c r="M961" s="1"/>
      <c r="N961" s="1"/>
      <c r="O961" s="1"/>
      <c r="P961" s="1"/>
      <c r="Q961" s="1"/>
      <c r="R961" s="1"/>
      <c r="S961" s="1"/>
      <c r="T961" s="1"/>
      <c r="U961" s="1"/>
    </row>
    <row r="962" spans="1:21" x14ac:dyDescent="0.25">
      <c r="A962" s="1"/>
      <c r="B962" s="1"/>
      <c r="C962" s="1"/>
      <c r="D962" s="1"/>
      <c r="E962" s="1"/>
      <c r="F962" s="1"/>
      <c r="G962" s="1"/>
      <c r="H962" s="1"/>
      <c r="I962" s="1"/>
      <c r="J962" s="1"/>
      <c r="K962" s="1"/>
      <c r="L962" s="1"/>
      <c r="M962" s="1"/>
      <c r="N962" s="1"/>
      <c r="O962" s="1"/>
      <c r="P962" s="1"/>
      <c r="Q962" s="1"/>
      <c r="R962" s="1"/>
      <c r="S962" s="1"/>
      <c r="T962" s="1"/>
      <c r="U962" s="1"/>
    </row>
    <row r="963" spans="1:21" x14ac:dyDescent="0.25">
      <c r="A963" s="1"/>
      <c r="B963" s="1"/>
      <c r="C963" s="1"/>
      <c r="D963" s="1"/>
      <c r="E963" s="1"/>
      <c r="F963" s="1"/>
      <c r="G963" s="1"/>
      <c r="H963" s="1"/>
      <c r="I963" s="1"/>
      <c r="J963" s="1"/>
      <c r="K963" s="1"/>
      <c r="L963" s="1"/>
      <c r="M963" s="1"/>
      <c r="N963" s="1"/>
      <c r="O963" s="1"/>
      <c r="P963" s="1"/>
      <c r="Q963" s="1"/>
      <c r="R963" s="1"/>
      <c r="S963" s="1"/>
      <c r="T963" s="1"/>
      <c r="U963" s="1"/>
    </row>
    <row r="964" spans="1:21" x14ac:dyDescent="0.25">
      <c r="A964" s="1"/>
      <c r="B964" s="1"/>
      <c r="C964" s="1"/>
      <c r="D964" s="1"/>
      <c r="E964" s="1"/>
      <c r="F964" s="1"/>
      <c r="G964" s="1"/>
      <c r="H964" s="1"/>
      <c r="I964" s="1"/>
      <c r="J964" s="1"/>
      <c r="K964" s="1"/>
      <c r="L964" s="1"/>
      <c r="M964" s="1"/>
      <c r="N964" s="1"/>
      <c r="O964" s="1"/>
      <c r="P964" s="1"/>
      <c r="Q964" s="1"/>
      <c r="R964" s="1"/>
      <c r="S964" s="1"/>
      <c r="T964" s="1"/>
      <c r="U964" s="1"/>
    </row>
    <row r="965" spans="1:21" x14ac:dyDescent="0.25">
      <c r="A965" s="1"/>
      <c r="B965" s="1"/>
      <c r="C965" s="1"/>
      <c r="D965" s="1"/>
      <c r="E965" s="1"/>
      <c r="F965" s="1"/>
      <c r="G965" s="1"/>
      <c r="H965" s="1"/>
      <c r="I965" s="1"/>
      <c r="J965" s="1"/>
      <c r="K965" s="1"/>
      <c r="L965" s="1"/>
      <c r="M965" s="1"/>
      <c r="N965" s="1"/>
      <c r="O965" s="1"/>
      <c r="P965" s="1"/>
      <c r="Q965" s="1"/>
      <c r="R965" s="1"/>
      <c r="S965" s="1"/>
      <c r="T965" s="1"/>
      <c r="U965" s="1"/>
    </row>
    <row r="966" spans="1:21" x14ac:dyDescent="0.25">
      <c r="A966" s="1"/>
      <c r="B966" s="1"/>
      <c r="C966" s="1"/>
      <c r="D966" s="1"/>
      <c r="E966" s="1"/>
      <c r="F966" s="1"/>
      <c r="G966" s="1"/>
      <c r="H966" s="1"/>
      <c r="I966" s="1"/>
      <c r="J966" s="1"/>
      <c r="K966" s="1"/>
      <c r="L966" s="1"/>
      <c r="M966" s="1"/>
      <c r="N966" s="1"/>
      <c r="O966" s="1"/>
      <c r="P966" s="1"/>
      <c r="Q966" s="1"/>
      <c r="R966" s="1"/>
      <c r="S966" s="1"/>
      <c r="T966" s="1"/>
      <c r="U966" s="1"/>
    </row>
    <row r="967" spans="1:21" x14ac:dyDescent="0.25">
      <c r="A967" s="1"/>
      <c r="B967" s="1"/>
      <c r="C967" s="1"/>
      <c r="D967" s="1"/>
      <c r="E967" s="1"/>
      <c r="F967" s="1"/>
      <c r="G967" s="1"/>
      <c r="H967" s="1"/>
      <c r="I967" s="1"/>
      <c r="J967" s="1"/>
      <c r="K967" s="1"/>
      <c r="L967" s="1"/>
      <c r="M967" s="1"/>
      <c r="N967" s="1"/>
      <c r="O967" s="1"/>
      <c r="P967" s="1"/>
      <c r="Q967" s="1"/>
      <c r="R967" s="1"/>
      <c r="S967" s="1"/>
      <c r="T967" s="1"/>
      <c r="U967" s="1"/>
    </row>
    <row r="968" spans="1:21" x14ac:dyDescent="0.25">
      <c r="A968" s="1"/>
      <c r="B968" s="1"/>
      <c r="C968" s="1"/>
      <c r="D968" s="1"/>
      <c r="E968" s="1"/>
      <c r="F968" s="1"/>
      <c r="G968" s="1"/>
      <c r="H968" s="1"/>
      <c r="I968" s="1"/>
      <c r="J968" s="1"/>
      <c r="K968" s="1"/>
      <c r="L968" s="1"/>
      <c r="M968" s="1"/>
      <c r="N968" s="1"/>
      <c r="O968" s="1"/>
      <c r="P968" s="1"/>
      <c r="Q968" s="1"/>
      <c r="R968" s="1"/>
      <c r="S968" s="1"/>
      <c r="T968" s="1"/>
      <c r="U968" s="1"/>
    </row>
    <row r="969" spans="1:21" x14ac:dyDescent="0.25">
      <c r="A969" s="1"/>
      <c r="B969" s="1"/>
      <c r="C969" s="1"/>
      <c r="D969" s="1"/>
      <c r="E969" s="1"/>
      <c r="F969" s="1"/>
      <c r="G969" s="1"/>
      <c r="H969" s="1"/>
      <c r="I969" s="1"/>
      <c r="J969" s="1"/>
      <c r="K969" s="1"/>
      <c r="L969" s="1"/>
      <c r="M969" s="1"/>
      <c r="N969" s="1"/>
      <c r="O969" s="1"/>
      <c r="P969" s="1"/>
      <c r="Q969" s="1"/>
      <c r="R969" s="1"/>
      <c r="S969" s="1"/>
      <c r="T969" s="1"/>
      <c r="U969" s="1"/>
    </row>
    <row r="970" spans="1:21" x14ac:dyDescent="0.25">
      <c r="A970" s="1"/>
      <c r="B970" s="1"/>
      <c r="C970" s="1"/>
      <c r="D970" s="1"/>
      <c r="E970" s="1"/>
      <c r="F970" s="1"/>
      <c r="G970" s="1"/>
      <c r="H970" s="1"/>
      <c r="I970" s="1"/>
      <c r="J970" s="1"/>
      <c r="K970" s="1"/>
      <c r="L970" s="1"/>
      <c r="M970" s="1"/>
      <c r="N970" s="1"/>
      <c r="O970" s="1"/>
      <c r="P970" s="1"/>
      <c r="Q970" s="1"/>
      <c r="R970" s="1"/>
      <c r="S970" s="1"/>
      <c r="T970" s="1"/>
      <c r="U970" s="1"/>
    </row>
    <row r="971" spans="1:21" x14ac:dyDescent="0.25">
      <c r="A971" s="1"/>
      <c r="B971" s="1"/>
      <c r="C971" s="1"/>
      <c r="D971" s="1"/>
      <c r="E971" s="1"/>
      <c r="F971" s="1"/>
      <c r="G971" s="1"/>
      <c r="H971" s="1"/>
      <c r="I971" s="1"/>
      <c r="J971" s="1"/>
      <c r="K971" s="1"/>
      <c r="L971" s="1"/>
      <c r="M971" s="1"/>
      <c r="N971" s="1"/>
      <c r="O971" s="1"/>
      <c r="P971" s="1"/>
      <c r="Q971" s="1"/>
      <c r="R971" s="1"/>
      <c r="S971" s="1"/>
      <c r="T971" s="1"/>
      <c r="U971" s="1"/>
    </row>
    <row r="972" spans="1:21" x14ac:dyDescent="0.25">
      <c r="A972" s="1"/>
      <c r="B972" s="1"/>
      <c r="C972" s="1"/>
      <c r="D972" s="1"/>
      <c r="E972" s="1"/>
      <c r="F972" s="1"/>
      <c r="G972" s="1"/>
      <c r="H972" s="1"/>
      <c r="I972" s="1"/>
      <c r="J972" s="1"/>
      <c r="K972" s="1"/>
      <c r="L972" s="1"/>
      <c r="M972" s="1"/>
      <c r="N972" s="1"/>
      <c r="O972" s="1"/>
      <c r="P972" s="1"/>
      <c r="Q972" s="1"/>
      <c r="R972" s="1"/>
      <c r="S972" s="1"/>
      <c r="T972" s="1"/>
      <c r="U972" s="1"/>
    </row>
    <row r="973" spans="1:21" x14ac:dyDescent="0.25">
      <c r="A973" s="1"/>
      <c r="B973" s="1"/>
      <c r="C973" s="1"/>
      <c r="D973" s="1"/>
      <c r="E973" s="1"/>
      <c r="F973" s="1"/>
      <c r="G973" s="1"/>
      <c r="H973" s="1"/>
      <c r="I973" s="1"/>
      <c r="J973" s="1"/>
      <c r="K973" s="1"/>
      <c r="L973" s="1"/>
      <c r="M973" s="1"/>
      <c r="N973" s="1"/>
      <c r="O973" s="1"/>
      <c r="P973" s="1"/>
      <c r="Q973" s="1"/>
      <c r="R973" s="1"/>
      <c r="S973" s="1"/>
      <c r="T973" s="1"/>
      <c r="U973" s="1"/>
    </row>
    <row r="974" spans="1:21" x14ac:dyDescent="0.25">
      <c r="A974" s="1"/>
      <c r="B974" s="1"/>
      <c r="C974" s="1"/>
      <c r="D974" s="1"/>
      <c r="E974" s="1"/>
      <c r="F974" s="1"/>
      <c r="G974" s="1"/>
      <c r="H974" s="1"/>
      <c r="I974" s="1"/>
      <c r="J974" s="1"/>
      <c r="K974" s="1"/>
      <c r="L974" s="1"/>
      <c r="M974" s="1"/>
      <c r="N974" s="1"/>
      <c r="O974" s="1"/>
      <c r="P974" s="1"/>
      <c r="Q974" s="1"/>
      <c r="R974" s="1"/>
      <c r="S974" s="1"/>
      <c r="T974" s="1"/>
      <c r="U974" s="1"/>
    </row>
    <row r="975" spans="1:21" x14ac:dyDescent="0.25">
      <c r="A975" s="1"/>
      <c r="B975" s="1"/>
      <c r="C975" s="1"/>
      <c r="D975" s="1"/>
      <c r="E975" s="1"/>
      <c r="F975" s="1"/>
      <c r="G975" s="1"/>
      <c r="H975" s="1"/>
      <c r="I975" s="1"/>
      <c r="J975" s="1"/>
      <c r="K975" s="1"/>
      <c r="L975" s="1"/>
      <c r="M975" s="1"/>
      <c r="N975" s="1"/>
      <c r="O975" s="1"/>
      <c r="P975" s="1"/>
      <c r="Q975" s="1"/>
      <c r="R975" s="1"/>
      <c r="S975" s="1"/>
      <c r="T975" s="1"/>
      <c r="U975" s="1"/>
    </row>
    <row r="976" spans="1:21" x14ac:dyDescent="0.25">
      <c r="A976" s="1"/>
      <c r="B976" s="1"/>
      <c r="C976" s="1"/>
      <c r="D976" s="1"/>
      <c r="E976" s="1"/>
      <c r="F976" s="1"/>
      <c r="G976" s="1"/>
      <c r="H976" s="1"/>
      <c r="I976" s="1"/>
      <c r="J976" s="1"/>
      <c r="K976" s="1"/>
      <c r="L976" s="1"/>
      <c r="M976" s="1"/>
      <c r="N976" s="1"/>
      <c r="O976" s="1"/>
      <c r="P976" s="1"/>
      <c r="Q976" s="1"/>
      <c r="R976" s="1"/>
      <c r="S976" s="1"/>
      <c r="T976" s="1"/>
      <c r="U976" s="1"/>
    </row>
    <row r="977" spans="1:21" x14ac:dyDescent="0.25">
      <c r="A977" s="1"/>
      <c r="B977" s="1"/>
      <c r="C977" s="1"/>
      <c r="D977" s="1"/>
      <c r="E977" s="1"/>
      <c r="F977" s="1"/>
      <c r="G977" s="1"/>
      <c r="H977" s="1"/>
      <c r="I977" s="1"/>
      <c r="J977" s="1"/>
      <c r="K977" s="1"/>
      <c r="L977" s="1"/>
      <c r="M977" s="1"/>
      <c r="N977" s="1"/>
      <c r="O977" s="1"/>
      <c r="P977" s="1"/>
      <c r="Q977" s="1"/>
      <c r="R977" s="1"/>
      <c r="S977" s="1"/>
      <c r="T977" s="1"/>
      <c r="U977" s="1"/>
    </row>
    <row r="978" spans="1:21" x14ac:dyDescent="0.25">
      <c r="A978" s="1"/>
      <c r="B978" s="1"/>
      <c r="C978" s="1"/>
      <c r="D978" s="1"/>
      <c r="E978" s="1"/>
      <c r="F978" s="1"/>
      <c r="G978" s="1"/>
      <c r="H978" s="1"/>
      <c r="I978" s="1"/>
      <c r="J978" s="1"/>
      <c r="K978" s="1"/>
      <c r="L978" s="1"/>
      <c r="M978" s="1"/>
      <c r="N978" s="1"/>
      <c r="O978" s="1"/>
      <c r="P978" s="1"/>
      <c r="Q978" s="1"/>
      <c r="R978" s="1"/>
      <c r="S978" s="1"/>
      <c r="T978" s="1"/>
      <c r="U978" s="1"/>
    </row>
    <row r="979" spans="1:21" x14ac:dyDescent="0.25">
      <c r="A979" s="1"/>
      <c r="B979" s="1"/>
      <c r="C979" s="1"/>
      <c r="D979" s="1"/>
      <c r="E979" s="1"/>
      <c r="F979" s="1"/>
      <c r="G979" s="1"/>
      <c r="H979" s="1"/>
      <c r="I979" s="1"/>
      <c r="J979" s="1"/>
      <c r="K979" s="1"/>
      <c r="L979" s="1"/>
      <c r="M979" s="1"/>
      <c r="N979" s="1"/>
      <c r="O979" s="1"/>
      <c r="P979" s="1"/>
      <c r="Q979" s="1"/>
      <c r="R979" s="1"/>
      <c r="S979" s="1"/>
      <c r="T979" s="1"/>
      <c r="U979" s="1"/>
    </row>
    <row r="980" spans="1:21" x14ac:dyDescent="0.25">
      <c r="A980" s="1"/>
      <c r="B980" s="1"/>
      <c r="C980" s="1"/>
      <c r="D980" s="1"/>
      <c r="E980" s="1"/>
      <c r="F980" s="1"/>
      <c r="G980" s="1"/>
      <c r="H980" s="1"/>
      <c r="I980" s="1"/>
      <c r="J980" s="1"/>
      <c r="K980" s="1"/>
      <c r="L980" s="1"/>
      <c r="M980" s="1"/>
      <c r="N980" s="1"/>
      <c r="O980" s="1"/>
      <c r="P980" s="1"/>
      <c r="Q980" s="1"/>
      <c r="R980" s="1"/>
      <c r="S980" s="1"/>
      <c r="T980" s="1"/>
      <c r="U980" s="1"/>
    </row>
    <row r="981" spans="1:21" x14ac:dyDescent="0.25">
      <c r="A981" s="1"/>
      <c r="B981" s="1"/>
      <c r="C981" s="1"/>
      <c r="D981" s="1"/>
      <c r="E981" s="1"/>
      <c r="F981" s="1"/>
      <c r="G981" s="1"/>
      <c r="H981" s="1"/>
      <c r="I981" s="1"/>
      <c r="J981" s="1"/>
      <c r="K981" s="1"/>
      <c r="L981" s="1"/>
      <c r="M981" s="1"/>
      <c r="N981" s="1"/>
      <c r="O981" s="1"/>
      <c r="P981" s="1"/>
      <c r="Q981" s="1"/>
      <c r="R981" s="1"/>
      <c r="S981" s="1"/>
      <c r="T981" s="1"/>
      <c r="U981" s="1"/>
    </row>
    <row r="982" spans="1:21" x14ac:dyDescent="0.25">
      <c r="A982" s="1"/>
      <c r="B982" s="1"/>
      <c r="C982" s="1"/>
      <c r="D982" s="1"/>
      <c r="E982" s="1"/>
      <c r="F982" s="1"/>
      <c r="G982" s="1"/>
      <c r="H982" s="1"/>
      <c r="I982" s="1"/>
      <c r="J982" s="1"/>
      <c r="K982" s="1"/>
      <c r="L982" s="1"/>
      <c r="M982" s="1"/>
      <c r="N982" s="1"/>
      <c r="O982" s="1"/>
      <c r="P982" s="1"/>
      <c r="Q982" s="1"/>
      <c r="R982" s="1"/>
      <c r="S982" s="1"/>
      <c r="T982" s="1"/>
      <c r="U982" s="1"/>
    </row>
    <row r="983" spans="1:21" x14ac:dyDescent="0.25">
      <c r="A983" s="1"/>
      <c r="B983" s="1"/>
      <c r="C983" s="1"/>
      <c r="D983" s="1"/>
      <c r="E983" s="1"/>
      <c r="F983" s="1"/>
      <c r="G983" s="1"/>
      <c r="H983" s="1"/>
      <c r="I983" s="1"/>
      <c r="J983" s="1"/>
      <c r="K983" s="1"/>
      <c r="L983" s="1"/>
      <c r="M983" s="1"/>
      <c r="N983" s="1"/>
      <c r="O983" s="1"/>
      <c r="P983" s="1"/>
      <c r="Q983" s="1"/>
      <c r="R983" s="1"/>
      <c r="S983" s="1"/>
      <c r="T983" s="1"/>
      <c r="U983" s="1"/>
    </row>
    <row r="984" spans="1:21" x14ac:dyDescent="0.25">
      <c r="A984" s="1"/>
      <c r="B984" s="1"/>
      <c r="C984" s="1"/>
      <c r="D984" s="1"/>
      <c r="E984" s="1"/>
      <c r="F984" s="1"/>
      <c r="G984" s="1"/>
      <c r="H984" s="1"/>
      <c r="I984" s="1"/>
      <c r="J984" s="1"/>
      <c r="K984" s="1"/>
      <c r="L984" s="1"/>
      <c r="M984" s="1"/>
      <c r="N984" s="1"/>
      <c r="O984" s="1"/>
      <c r="P984" s="1"/>
      <c r="Q984" s="1"/>
      <c r="R984" s="1"/>
      <c r="S984" s="1"/>
      <c r="T984" s="1"/>
      <c r="U984" s="1"/>
    </row>
    <row r="985" spans="1:21" x14ac:dyDescent="0.25">
      <c r="A985" s="1"/>
      <c r="B985" s="1"/>
      <c r="C985" s="1"/>
      <c r="D985" s="1"/>
      <c r="E985" s="1"/>
      <c r="F985" s="1"/>
      <c r="G985" s="1"/>
      <c r="H985" s="1"/>
      <c r="I985" s="1"/>
      <c r="J985" s="1"/>
      <c r="K985" s="1"/>
      <c r="L985" s="1"/>
      <c r="M985" s="1"/>
      <c r="N985" s="1"/>
      <c r="O985" s="1"/>
      <c r="P985" s="1"/>
      <c r="Q985" s="1"/>
      <c r="R985" s="1"/>
      <c r="S985" s="1"/>
      <c r="T985" s="1"/>
      <c r="U985" s="1"/>
    </row>
    <row r="986" spans="1:21" x14ac:dyDescent="0.25">
      <c r="A986" s="1"/>
      <c r="B986" s="1"/>
      <c r="C986" s="1"/>
      <c r="D986" s="1"/>
      <c r="E986" s="1"/>
      <c r="F986" s="1"/>
      <c r="G986" s="1"/>
      <c r="H986" s="1"/>
      <c r="I986" s="1"/>
      <c r="J986" s="1"/>
      <c r="K986" s="1"/>
      <c r="L986" s="1"/>
      <c r="M986" s="1"/>
      <c r="N986" s="1"/>
      <c r="O986" s="1"/>
      <c r="P986" s="1"/>
      <c r="Q986" s="1"/>
      <c r="R986" s="1"/>
      <c r="S986" s="1"/>
      <c r="T986" s="1"/>
      <c r="U986" s="1"/>
    </row>
    <row r="987" spans="1:21" x14ac:dyDescent="0.25">
      <c r="A987" s="1"/>
      <c r="B987" s="1"/>
      <c r="C987" s="1"/>
      <c r="D987" s="1"/>
      <c r="E987" s="1"/>
      <c r="F987" s="1"/>
      <c r="G987" s="1"/>
      <c r="H987" s="1"/>
      <c r="I987" s="1"/>
      <c r="J987" s="1"/>
      <c r="K987" s="1"/>
      <c r="L987" s="1"/>
      <c r="M987" s="1"/>
      <c r="N987" s="1"/>
      <c r="O987" s="1"/>
      <c r="P987" s="1"/>
      <c r="Q987" s="1"/>
      <c r="R987" s="1"/>
      <c r="S987" s="1"/>
      <c r="T987" s="1"/>
      <c r="U987" s="1"/>
    </row>
    <row r="988" spans="1:21" x14ac:dyDescent="0.25">
      <c r="A988" s="1"/>
      <c r="B988" s="1"/>
      <c r="C988" s="1"/>
      <c r="D988" s="1"/>
      <c r="E988" s="1"/>
      <c r="F988" s="1"/>
      <c r="G988" s="1"/>
      <c r="H988" s="1"/>
      <c r="I988" s="1"/>
      <c r="J988" s="1"/>
      <c r="K988" s="1"/>
      <c r="L988" s="1"/>
      <c r="M988" s="1"/>
      <c r="N988" s="1"/>
      <c r="O988" s="1"/>
      <c r="P988" s="1"/>
      <c r="Q988" s="1"/>
      <c r="R988" s="1"/>
      <c r="S988" s="1"/>
      <c r="T988" s="1"/>
      <c r="U988" s="1"/>
    </row>
    <row r="989" spans="1:21" x14ac:dyDescent="0.25">
      <c r="A989" s="1"/>
      <c r="B989" s="1"/>
      <c r="C989" s="1"/>
      <c r="D989" s="1"/>
      <c r="E989" s="1"/>
      <c r="F989" s="1"/>
      <c r="G989" s="1"/>
      <c r="H989" s="1"/>
      <c r="I989" s="1"/>
      <c r="J989" s="1"/>
      <c r="K989" s="1"/>
      <c r="L989" s="1"/>
      <c r="M989" s="1"/>
      <c r="N989" s="1"/>
      <c r="O989" s="1"/>
      <c r="P989" s="1"/>
      <c r="Q989" s="1"/>
      <c r="R989" s="1"/>
      <c r="S989" s="1"/>
      <c r="T989" s="1"/>
      <c r="U989" s="1"/>
    </row>
    <row r="990" spans="1:21" x14ac:dyDescent="0.25">
      <c r="A990" s="1"/>
      <c r="B990" s="1"/>
      <c r="C990" s="1"/>
      <c r="D990" s="1"/>
      <c r="E990" s="1"/>
      <c r="F990" s="1"/>
      <c r="G990" s="1"/>
      <c r="H990" s="1"/>
      <c r="I990" s="1"/>
      <c r="J990" s="1"/>
      <c r="K990" s="1"/>
      <c r="L990" s="1"/>
      <c r="M990" s="1"/>
      <c r="N990" s="1"/>
      <c r="O990" s="1"/>
      <c r="P990" s="1"/>
      <c r="Q990" s="1"/>
      <c r="R990" s="1"/>
      <c r="S990" s="1"/>
      <c r="T990" s="1"/>
      <c r="U990" s="1"/>
    </row>
    <row r="991" spans="1:21" x14ac:dyDescent="0.25">
      <c r="A991" s="1"/>
      <c r="B991" s="1"/>
      <c r="C991" s="1"/>
      <c r="D991" s="1"/>
      <c r="E991" s="1"/>
      <c r="F991" s="1"/>
      <c r="G991" s="1"/>
      <c r="H991" s="1"/>
      <c r="I991" s="1"/>
      <c r="J991" s="1"/>
      <c r="K991" s="1"/>
      <c r="L991" s="1"/>
      <c r="M991" s="1"/>
      <c r="N991" s="1"/>
      <c r="O991" s="1"/>
      <c r="P991" s="1"/>
      <c r="Q991" s="1"/>
      <c r="R991" s="1"/>
      <c r="S991" s="1"/>
      <c r="T991" s="1"/>
      <c r="U991" s="1"/>
    </row>
    <row r="992" spans="1:21" x14ac:dyDescent="0.25">
      <c r="A992" s="1"/>
      <c r="B992" s="1"/>
      <c r="C992" s="1"/>
      <c r="D992" s="1"/>
      <c r="E992" s="1"/>
      <c r="F992" s="1"/>
      <c r="G992" s="1"/>
      <c r="H992" s="1"/>
      <c r="I992" s="1"/>
      <c r="J992" s="1"/>
      <c r="K992" s="1"/>
      <c r="L992" s="1"/>
      <c r="M992" s="1"/>
      <c r="N992" s="1"/>
      <c r="O992" s="1"/>
      <c r="P992" s="1"/>
      <c r="Q992" s="1"/>
      <c r="R992" s="1"/>
      <c r="S992" s="1"/>
      <c r="T992" s="1"/>
      <c r="U992" s="1"/>
    </row>
    <row r="993" spans="1:21" x14ac:dyDescent="0.25">
      <c r="A993" s="1"/>
      <c r="B993" s="1"/>
      <c r="C993" s="1"/>
      <c r="D993" s="1"/>
      <c r="E993" s="1"/>
      <c r="F993" s="1"/>
      <c r="G993" s="1"/>
      <c r="H993" s="1"/>
      <c r="I993" s="1"/>
      <c r="J993" s="1"/>
      <c r="K993" s="1"/>
      <c r="L993" s="1"/>
      <c r="M993" s="1"/>
      <c r="N993" s="1"/>
      <c r="O993" s="1"/>
      <c r="P993" s="1"/>
      <c r="Q993" s="1"/>
      <c r="R993" s="1"/>
      <c r="S993" s="1"/>
      <c r="T993" s="1"/>
      <c r="U993" s="1"/>
    </row>
    <row r="994" spans="1:21" x14ac:dyDescent="0.25">
      <c r="A994" s="1"/>
      <c r="B994" s="1"/>
      <c r="C994" s="1"/>
      <c r="D994" s="1"/>
      <c r="E994" s="1"/>
      <c r="F994" s="1"/>
      <c r="G994" s="1"/>
      <c r="H994" s="1"/>
      <c r="I994" s="1"/>
      <c r="J994" s="1"/>
      <c r="K994" s="1"/>
      <c r="L994" s="1"/>
      <c r="M994" s="1"/>
      <c r="N994" s="1"/>
      <c r="O994" s="1"/>
      <c r="P994" s="1"/>
      <c r="Q994" s="1"/>
      <c r="R994" s="1"/>
      <c r="S994" s="1"/>
      <c r="T994" s="1"/>
      <c r="U994" s="1"/>
    </row>
    <row r="995" spans="1:21" x14ac:dyDescent="0.25">
      <c r="A995" s="1"/>
      <c r="B995" s="1"/>
      <c r="C995" s="1"/>
      <c r="D995" s="1"/>
      <c r="E995" s="1"/>
      <c r="F995" s="1"/>
      <c r="G995" s="1"/>
      <c r="H995" s="1"/>
      <c r="I995" s="1"/>
      <c r="J995" s="1"/>
      <c r="K995" s="1"/>
      <c r="L995" s="1"/>
      <c r="M995" s="1"/>
      <c r="N995" s="1"/>
      <c r="O995" s="1"/>
      <c r="P995" s="1"/>
      <c r="Q995" s="1"/>
      <c r="R995" s="1"/>
      <c r="S995" s="1"/>
      <c r="T995" s="1"/>
      <c r="U995" s="1"/>
    </row>
    <row r="996" spans="1:21" x14ac:dyDescent="0.25">
      <c r="A996" s="1"/>
      <c r="B996" s="1"/>
      <c r="C996" s="1"/>
      <c r="D996" s="1"/>
      <c r="E996" s="1"/>
      <c r="F996" s="1"/>
      <c r="G996" s="1"/>
      <c r="H996" s="1"/>
      <c r="I996" s="1"/>
      <c r="J996" s="1"/>
      <c r="K996" s="1"/>
      <c r="L996" s="1"/>
      <c r="M996" s="1"/>
      <c r="N996" s="1"/>
      <c r="O996" s="1"/>
      <c r="P996" s="1"/>
      <c r="Q996" s="1"/>
      <c r="R996" s="1"/>
      <c r="S996" s="1"/>
      <c r="T996" s="1"/>
      <c r="U996" s="1"/>
    </row>
    <row r="997" spans="1:21" x14ac:dyDescent="0.25">
      <c r="A997" s="1"/>
      <c r="B997" s="1"/>
      <c r="C997" s="1"/>
      <c r="D997" s="1"/>
      <c r="E997" s="1"/>
      <c r="F997" s="1"/>
      <c r="G997" s="1"/>
      <c r="H997" s="1"/>
      <c r="I997" s="1"/>
      <c r="J997" s="1"/>
      <c r="K997" s="1"/>
      <c r="L997" s="1"/>
      <c r="M997" s="1"/>
      <c r="N997" s="1"/>
      <c r="O997" s="1"/>
      <c r="P997" s="1"/>
      <c r="Q997" s="1"/>
      <c r="R997" s="1"/>
      <c r="S997" s="1"/>
      <c r="T997" s="1"/>
      <c r="U997" s="1"/>
    </row>
    <row r="998" spans="1:21" x14ac:dyDescent="0.25">
      <c r="A998" s="1"/>
      <c r="B998" s="1"/>
      <c r="C998" s="1"/>
      <c r="D998" s="1"/>
      <c r="E998" s="1"/>
      <c r="F998" s="1"/>
      <c r="G998" s="1"/>
      <c r="H998" s="1"/>
      <c r="I998" s="1"/>
      <c r="J998" s="1"/>
      <c r="K998" s="1"/>
      <c r="L998" s="1"/>
      <c r="M998" s="1"/>
      <c r="N998" s="1"/>
      <c r="O998" s="1"/>
      <c r="P998" s="1"/>
      <c r="Q998" s="1"/>
      <c r="R998" s="1"/>
      <c r="S998" s="1"/>
      <c r="T998" s="1"/>
      <c r="U998" s="1"/>
    </row>
    <row r="999" spans="1:21" x14ac:dyDescent="0.25">
      <c r="A999" s="1"/>
      <c r="B999" s="1"/>
      <c r="C999" s="1"/>
      <c r="D999" s="1"/>
      <c r="E999" s="1"/>
      <c r="F999" s="1"/>
      <c r="G999" s="1"/>
      <c r="H999" s="1"/>
      <c r="I999" s="1"/>
      <c r="J999" s="1"/>
      <c r="K999" s="1"/>
      <c r="L999" s="1"/>
      <c r="M999" s="1"/>
      <c r="N999" s="1"/>
      <c r="O999" s="1"/>
      <c r="P999" s="1"/>
      <c r="Q999" s="1"/>
      <c r="R999" s="1"/>
      <c r="S999" s="1"/>
      <c r="T999" s="1"/>
      <c r="U999" s="1"/>
    </row>
    <row r="1000" spans="1:21" x14ac:dyDescent="0.25">
      <c r="A1000" s="1"/>
      <c r="B1000" s="1"/>
      <c r="C1000" s="1"/>
      <c r="D1000" s="1"/>
      <c r="E1000" s="1"/>
      <c r="F1000" s="1"/>
      <c r="G1000" s="1"/>
      <c r="H1000" s="1"/>
      <c r="I1000" s="1"/>
      <c r="J1000" s="1"/>
      <c r="K1000" s="1"/>
      <c r="L1000" s="1"/>
      <c r="M1000" s="1"/>
      <c r="N1000" s="1"/>
      <c r="O1000" s="1"/>
      <c r="P1000" s="1"/>
      <c r="Q1000" s="1"/>
      <c r="R1000" s="1"/>
      <c r="S1000" s="1"/>
      <c r="T1000" s="1"/>
      <c r="U1000" s="1"/>
    </row>
    <row r="1001" spans="1:21" x14ac:dyDescent="0.25">
      <c r="A1001" s="1"/>
      <c r="B1001" s="1"/>
      <c r="C1001" s="1"/>
      <c r="D1001" s="1"/>
      <c r="E1001" s="1"/>
      <c r="F1001" s="1"/>
      <c r="G1001" s="1"/>
      <c r="H1001" s="1"/>
      <c r="I1001" s="1"/>
      <c r="J1001" s="1"/>
      <c r="K1001" s="1"/>
      <c r="L1001" s="1"/>
      <c r="M1001" s="1"/>
      <c r="N1001" s="1"/>
      <c r="O1001" s="1"/>
      <c r="P1001" s="1"/>
      <c r="Q1001" s="1"/>
      <c r="R1001" s="1"/>
      <c r="S1001" s="1"/>
      <c r="T1001" s="1"/>
      <c r="U1001" s="1"/>
    </row>
    <row r="1002" spans="1:21" x14ac:dyDescent="0.25">
      <c r="A1002" s="1"/>
      <c r="B1002" s="1"/>
      <c r="C1002" s="1"/>
      <c r="D1002" s="1"/>
      <c r="E1002" s="1"/>
      <c r="F1002" s="1"/>
      <c r="G1002" s="1"/>
      <c r="H1002" s="1"/>
      <c r="I1002" s="1"/>
      <c r="J1002" s="1"/>
      <c r="K1002" s="1"/>
      <c r="L1002" s="1"/>
      <c r="M1002" s="1"/>
      <c r="N1002" s="1"/>
      <c r="O1002" s="1"/>
      <c r="P1002" s="1"/>
      <c r="Q1002" s="1"/>
      <c r="R1002" s="1"/>
      <c r="S1002" s="1"/>
      <c r="T1002" s="1"/>
      <c r="U1002" s="1"/>
    </row>
  </sheetData>
  <pageMargins bottom="0.75" footer="0.3" header="0.3" left="0.7" right="0.7" top="0.75"/>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2:F81"/>
  <sheetViews>
    <sheetView workbookViewId="0">
      <selection activeCell="B4" sqref="B3:B4"/>
    </sheetView>
  </sheetViews>
  <sheetFormatPr defaultRowHeight="15" x14ac:dyDescent="0.25"/>
  <cols>
    <col min="1" max="1" customWidth="true" width="14.7109375" collapsed="true"/>
  </cols>
  <sheetData>
    <row r="2" spans="1:5" x14ac:dyDescent="0.25">
      <c r="A2" s="1" t="s">
        <v>28</v>
      </c>
      <c r="B2" s="1" t="s">
        <v>292</v>
      </c>
      <c r="E2" s="1"/>
    </row>
    <row r="3" spans="1:5" x14ac:dyDescent="0.25">
      <c r="A3" t="s">
        <v>3</v>
      </c>
      <c r="B3" s="1" t="s">
        <v>189</v>
      </c>
      <c r="E3" s="1"/>
    </row>
    <row r="4" spans="1:5" x14ac:dyDescent="0.25">
      <c r="A4" t="s">
        <v>21</v>
      </c>
      <c r="B4" s="1" t="s">
        <v>419</v>
      </c>
      <c r="E4" s="1"/>
    </row>
    <row r="5" spans="1:5" x14ac:dyDescent="0.25">
      <c r="A5" s="1"/>
      <c r="B5" s="1"/>
      <c r="E5" s="1"/>
    </row>
    <row r="6" spans="1:5" x14ac:dyDescent="0.25">
      <c r="A6" s="1"/>
      <c r="B6" s="1"/>
      <c r="E6" s="1"/>
    </row>
    <row r="7" spans="1:5" x14ac:dyDescent="0.25">
      <c r="A7" s="1"/>
      <c r="B7" s="1"/>
      <c r="E7" s="1"/>
    </row>
    <row r="8" spans="1:5" x14ac:dyDescent="0.25">
      <c r="A8" s="1"/>
      <c r="B8" s="1"/>
      <c r="E8" s="1"/>
    </row>
    <row r="9" spans="1:5" x14ac:dyDescent="0.25">
      <c r="E9" s="1"/>
    </row>
    <row r="10" spans="1:5" x14ac:dyDescent="0.25">
      <c r="E10" s="1"/>
    </row>
    <row r="11" spans="1:5" x14ac:dyDescent="0.25">
      <c r="E11" s="1"/>
    </row>
    <row r="12" spans="1:5" x14ac:dyDescent="0.25">
      <c r="E12" s="1"/>
    </row>
    <row r="13" spans="1:5" x14ac:dyDescent="0.25">
      <c r="E13" s="1"/>
    </row>
    <row r="14" spans="1:5" x14ac:dyDescent="0.25">
      <c r="E14" s="1"/>
    </row>
    <row r="15" spans="1:5" x14ac:dyDescent="0.25">
      <c r="E15" s="1"/>
    </row>
    <row r="16" spans="1:5" x14ac:dyDescent="0.25">
      <c r="E16" s="1"/>
    </row>
    <row r="17" spans="5:5" x14ac:dyDescent="0.25">
      <c r="E17" s="1"/>
    </row>
    <row r="18" spans="5:5" x14ac:dyDescent="0.25">
      <c r="E18" s="1"/>
    </row>
    <row r="19" spans="5:5" x14ac:dyDescent="0.25">
      <c r="E19" s="1"/>
    </row>
    <row r="20" spans="5:5" x14ac:dyDescent="0.25">
      <c r="E20" s="1"/>
    </row>
    <row r="21" spans="5:5" x14ac:dyDescent="0.25">
      <c r="E21" s="1"/>
    </row>
    <row r="22" spans="5:5" x14ac:dyDescent="0.25">
      <c r="E22" s="1"/>
    </row>
    <row r="23" spans="5:5" x14ac:dyDescent="0.25">
      <c r="E23" s="1"/>
    </row>
    <row r="24" spans="5:5" x14ac:dyDescent="0.25">
      <c r="E24" s="1"/>
    </row>
    <row r="25" spans="5:5" x14ac:dyDescent="0.25">
      <c r="E25" s="1"/>
    </row>
    <row r="26" spans="5:5" x14ac:dyDescent="0.25">
      <c r="E26" s="1"/>
    </row>
    <row r="27" spans="5:5" x14ac:dyDescent="0.25">
      <c r="E27" s="1"/>
    </row>
    <row r="28" spans="5:5" x14ac:dyDescent="0.25">
      <c r="E28" s="1"/>
    </row>
    <row r="29" spans="5:5" x14ac:dyDescent="0.25">
      <c r="E29" s="1"/>
    </row>
    <row r="30" spans="5:5" x14ac:dyDescent="0.25">
      <c r="E30" s="1"/>
    </row>
    <row r="31" spans="5:5" x14ac:dyDescent="0.25">
      <c r="E31" s="1"/>
    </row>
    <row r="32" spans="5:5" x14ac:dyDescent="0.25">
      <c r="E32" s="1"/>
    </row>
    <row r="33" spans="5:5" x14ac:dyDescent="0.25">
      <c r="E33" s="1"/>
    </row>
    <row r="34" spans="5:5" x14ac:dyDescent="0.25">
      <c r="E34" s="1"/>
    </row>
    <row r="35" spans="5:5" x14ac:dyDescent="0.25">
      <c r="E35" s="1"/>
    </row>
    <row r="36" spans="5:5" x14ac:dyDescent="0.25">
      <c r="E36" s="1"/>
    </row>
    <row r="37" spans="5:5" x14ac:dyDescent="0.25">
      <c r="E37" s="1"/>
    </row>
    <row r="38" spans="5:5" x14ac:dyDescent="0.25">
      <c r="E38" s="1"/>
    </row>
    <row r="39" spans="5:5" x14ac:dyDescent="0.25">
      <c r="E39" s="1"/>
    </row>
    <row r="40" spans="5:5" x14ac:dyDescent="0.25">
      <c r="E40" s="1"/>
    </row>
    <row r="41" spans="5:5" x14ac:dyDescent="0.25">
      <c r="E41" s="1"/>
    </row>
    <row r="42" spans="5:5" x14ac:dyDescent="0.25">
      <c r="E42" s="1"/>
    </row>
    <row r="43" spans="5:5" x14ac:dyDescent="0.25">
      <c r="E43" s="1"/>
    </row>
    <row r="44" spans="5:5" x14ac:dyDescent="0.25">
      <c r="E44" s="1"/>
    </row>
    <row r="45" spans="5:5" x14ac:dyDescent="0.25">
      <c r="E45" s="1"/>
    </row>
    <row r="46" spans="5:5" x14ac:dyDescent="0.25">
      <c r="E46" s="1"/>
    </row>
    <row r="47" spans="5:5" x14ac:dyDescent="0.25">
      <c r="E47" s="1"/>
    </row>
    <row r="48" spans="5:5" x14ac:dyDescent="0.25">
      <c r="E48" s="1"/>
    </row>
    <row r="49" spans="5:5" x14ac:dyDescent="0.25">
      <c r="E49" s="1"/>
    </row>
    <row r="50" spans="5:5" x14ac:dyDescent="0.25">
      <c r="E50" s="1"/>
    </row>
    <row r="51" spans="5:5" x14ac:dyDescent="0.25">
      <c r="E51" s="1"/>
    </row>
    <row r="52" spans="5:5" x14ac:dyDescent="0.25">
      <c r="E52" s="1"/>
    </row>
    <row r="53" spans="5:5" x14ac:dyDescent="0.25">
      <c r="E53" s="1"/>
    </row>
    <row r="54" spans="5:5" x14ac:dyDescent="0.25">
      <c r="E54" s="1"/>
    </row>
    <row r="55" spans="5:5" x14ac:dyDescent="0.25">
      <c r="E55" s="1"/>
    </row>
    <row r="56" spans="5:5" x14ac:dyDescent="0.25">
      <c r="E56" s="1"/>
    </row>
    <row r="57" spans="5:5" x14ac:dyDescent="0.25">
      <c r="E57" s="1"/>
    </row>
    <row r="58" spans="5:5" x14ac:dyDescent="0.25">
      <c r="E58" s="1"/>
    </row>
    <row r="59" spans="5:5" x14ac:dyDescent="0.25">
      <c r="E59" s="1"/>
    </row>
    <row r="60" spans="5:5" x14ac:dyDescent="0.25">
      <c r="E60" s="1"/>
    </row>
    <row r="61" spans="5:5" x14ac:dyDescent="0.25">
      <c r="E61" s="1"/>
    </row>
    <row r="62" spans="5:5" x14ac:dyDescent="0.25">
      <c r="E62" s="1"/>
    </row>
    <row r="63" spans="5:5" x14ac:dyDescent="0.25">
      <c r="E63" s="1"/>
    </row>
    <row r="64" spans="5:5" x14ac:dyDescent="0.25">
      <c r="E64" s="1"/>
    </row>
    <row r="65" spans="5:5" x14ac:dyDescent="0.25">
      <c r="E65" s="1"/>
    </row>
    <row r="66" spans="5:5" x14ac:dyDescent="0.25">
      <c r="E66" s="1"/>
    </row>
    <row r="67" spans="5:5" x14ac:dyDescent="0.25">
      <c r="E67" s="1"/>
    </row>
    <row r="68" spans="5:5" x14ac:dyDescent="0.25">
      <c r="E68" s="1"/>
    </row>
    <row r="69" spans="5:5" x14ac:dyDescent="0.25">
      <c r="E69" s="1"/>
    </row>
    <row r="70" spans="5:5" x14ac:dyDescent="0.25">
      <c r="E70" s="1"/>
    </row>
    <row r="71" spans="5:5" x14ac:dyDescent="0.25">
      <c r="E71" s="1"/>
    </row>
    <row r="72" spans="5:5" x14ac:dyDescent="0.25">
      <c r="E72" s="1"/>
    </row>
    <row r="73" spans="5:5" x14ac:dyDescent="0.25">
      <c r="E73" s="1"/>
    </row>
    <row r="74" spans="5:5" x14ac:dyDescent="0.25">
      <c r="E74" s="1"/>
    </row>
    <row r="75" spans="5:5" x14ac:dyDescent="0.25">
      <c r="E75" s="1"/>
    </row>
    <row r="76" spans="5:5" x14ac:dyDescent="0.25">
      <c r="E76" s="1"/>
    </row>
    <row r="77" spans="5:5" x14ac:dyDescent="0.25">
      <c r="E77" s="1"/>
    </row>
    <row r="78" spans="5:5" x14ac:dyDescent="0.25">
      <c r="E78" s="1"/>
    </row>
    <row r="79" spans="5:5" x14ac:dyDescent="0.25">
      <c r="E79" s="1"/>
    </row>
    <row r="80" spans="5:5" x14ac:dyDescent="0.25">
      <c r="E80" s="1"/>
    </row>
    <row r="81" spans="5:5" x14ac:dyDescent="0.25">
      <c r="E81" s="1"/>
    </row>
  </sheetData>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
  <dimension ref="A1:J111"/>
  <sheetViews>
    <sheetView workbookViewId="0"/>
  </sheetViews>
  <sheetFormatPr defaultRowHeight="15" x14ac:dyDescent="0.25"/>
  <cols>
    <col min="1" max="1" customWidth="true" style="3" width="19.85546875" collapsed="true"/>
    <col min="2" max="2" customWidth="true" width="16.0" collapsed="true"/>
    <col min="9" max="9" customWidth="true" width="41.140625" collapsed="true"/>
  </cols>
  <sheetData>
    <row r="1" spans="1:1" x14ac:dyDescent="0.25">
      <c r="A1" s="3" t="s">
        <v>31</v>
      </c>
    </row>
    <row r="2" spans="1:1" x14ac:dyDescent="0.25">
      <c r="A2" s="3">
        <f>Inputs!C6</f>
        <v>0</v>
      </c>
    </row>
    <row r="3" spans="1:1" x14ac:dyDescent="0.25">
      <c r="A3" s="3">
        <f>Inputs!C7</f>
        <v>0</v>
      </c>
    </row>
    <row r="4" spans="1:1" x14ac:dyDescent="0.25">
      <c r="A4" s="3">
        <f>Inputs!C8</f>
        <v>0</v>
      </c>
    </row>
    <row r="5" spans="1:1" x14ac:dyDescent="0.25">
      <c r="A5" s="3">
        <f>Inputs!C9</f>
        <v>0</v>
      </c>
    </row>
    <row r="6" spans="1:1" x14ac:dyDescent="0.25">
      <c r="A6" s="3">
        <f>Inputs!C10</f>
        <v>0</v>
      </c>
    </row>
    <row r="7" spans="1:1" x14ac:dyDescent="0.25">
      <c r="A7" s="3">
        <f>Inputs!C11</f>
        <v>0</v>
      </c>
    </row>
    <row r="8" spans="1:1" x14ac:dyDescent="0.25">
      <c r="A8" s="3">
        <f>Inputs!C12</f>
        <v>0</v>
      </c>
    </row>
    <row r="9" spans="1:1" x14ac:dyDescent="0.25">
      <c r="A9" s="3" t="e">
        <f>Inputs!#REF!</f>
        <v>#REF!</v>
      </c>
    </row>
    <row r="10" spans="1:1" x14ac:dyDescent="0.25">
      <c r="A10" s="3" t="e">
        <f>Inputs!#REF!</f>
        <v>#REF!</v>
      </c>
    </row>
    <row r="11" spans="1:1" x14ac:dyDescent="0.25">
      <c r="A11" s="3">
        <f>Inputs!C30</f>
        <v>38</v>
      </c>
    </row>
    <row r="12" spans="1:1" x14ac:dyDescent="0.25">
      <c r="A12" s="3">
        <f>Inputs!C31</f>
        <v>40</v>
      </c>
    </row>
    <row r="13" spans="1:1" x14ac:dyDescent="0.25">
      <c r="A13" s="3">
        <f>Inputs!C32</f>
        <v>41</v>
      </c>
    </row>
    <row r="14" spans="1:1" x14ac:dyDescent="0.25">
      <c r="A14" s="3">
        <f>Inputs!C33</f>
        <v>42</v>
      </c>
    </row>
    <row r="15" spans="1:1" x14ac:dyDescent="0.25">
      <c r="A15" s="3">
        <f>Inputs!C34</f>
        <v>43</v>
      </c>
    </row>
    <row r="16" spans="1:1" x14ac:dyDescent="0.25">
      <c r="A16" s="3">
        <f>Inputs!C40</f>
        <v>0</v>
      </c>
    </row>
    <row r="17" spans="1:1" x14ac:dyDescent="0.25">
      <c r="A17" s="3">
        <f>Inputs!C41</f>
        <v>0</v>
      </c>
    </row>
    <row r="18" spans="1:1" x14ac:dyDescent="0.25">
      <c r="A18" s="3">
        <f>Inputs!C42</f>
        <v>0</v>
      </c>
    </row>
    <row r="19" spans="1:1" x14ac:dyDescent="0.25">
      <c r="A19" s="3">
        <f>Inputs!C43</f>
        <v>0</v>
      </c>
    </row>
    <row r="20" spans="1:1" x14ac:dyDescent="0.25">
      <c r="A20" s="3">
        <f>Inputs!C44</f>
        <v>0</v>
      </c>
    </row>
    <row r="21" spans="1:1" x14ac:dyDescent="0.25">
      <c r="A21" s="3">
        <f>Inputs!C45</f>
        <v>0</v>
      </c>
    </row>
    <row r="22" spans="1:1" x14ac:dyDescent="0.25">
      <c r="A22" s="3">
        <f>Inputs!C46</f>
        <v>0</v>
      </c>
    </row>
    <row r="23" spans="1:1" x14ac:dyDescent="0.25">
      <c r="A23" s="3">
        <f>Inputs!C47</f>
        <v>0</v>
      </c>
    </row>
    <row r="24" spans="1:1" x14ac:dyDescent="0.25">
      <c r="A24" s="3">
        <f>Inputs!C48</f>
        <v>0</v>
      </c>
    </row>
    <row r="25" spans="1:1" x14ac:dyDescent="0.25">
      <c r="A25" s="3">
        <f>Inputs!C49</f>
        <v>0</v>
      </c>
    </row>
    <row r="26" spans="1:1" x14ac:dyDescent="0.25">
      <c r="A26" s="3">
        <f>Inputs!C50</f>
        <v>0</v>
      </c>
    </row>
    <row r="27" spans="1:1" x14ac:dyDescent="0.25">
      <c r="A27" s="3">
        <f>Inputs!C51</f>
        <v>0</v>
      </c>
    </row>
    <row r="28" spans="1:1" x14ac:dyDescent="0.25">
      <c r="A28" s="3">
        <f>Inputs!C52</f>
        <v>0</v>
      </c>
    </row>
    <row r="29" spans="1:1" x14ac:dyDescent="0.25">
      <c r="A29" s="3">
        <f>Inputs!C53</f>
        <v>0</v>
      </c>
    </row>
    <row r="30" spans="1:1" x14ac:dyDescent="0.25">
      <c r="A30" s="3">
        <f>Inputs!C54</f>
        <v>0</v>
      </c>
    </row>
    <row r="31" spans="1:1" x14ac:dyDescent="0.25">
      <c r="A31" s="3">
        <f>Inputs!C55</f>
        <v>0</v>
      </c>
    </row>
    <row r="32" spans="1:1" x14ac:dyDescent="0.25">
      <c r="A32" s="3">
        <f>Inputs!C56</f>
        <v>0</v>
      </c>
    </row>
    <row r="33" spans="1:9" x14ac:dyDescent="0.25">
      <c r="A33" s="3">
        <f>Inputs!C57</f>
        <v>0</v>
      </c>
    </row>
    <row r="34" spans="1:9" x14ac:dyDescent="0.25">
      <c r="A34" s="3">
        <f>Inputs!C58</f>
        <v>0</v>
      </c>
    </row>
    <row r="35" spans="1:9" x14ac:dyDescent="0.25">
      <c r="A35" s="3">
        <f>Inputs!C59</f>
        <v>0</v>
      </c>
    </row>
    <row r="36" spans="1:9" x14ac:dyDescent="0.25">
      <c r="A36" s="3">
        <f>Inputs!C60</f>
        <v>0</v>
      </c>
    </row>
    <row r="37" spans="1:9" x14ac:dyDescent="0.25">
      <c r="A37" s="3">
        <f>Inputs!C61</f>
        <v>0</v>
      </c>
    </row>
    <row r="38" spans="1:9" x14ac:dyDescent="0.25">
      <c r="A38" s="3">
        <f>Inputs!C62</f>
        <v>0</v>
      </c>
    </row>
    <row r="39" spans="1:9" x14ac:dyDescent="0.25">
      <c r="A39" s="3">
        <f>Inputs!C63</f>
        <v>0</v>
      </c>
    </row>
    <row r="40" spans="1:9" x14ac:dyDescent="0.25">
      <c r="A40" s="3">
        <f>Inputs!C64</f>
        <v>0</v>
      </c>
    </row>
    <row r="41" spans="1:9" x14ac:dyDescent="0.25">
      <c r="A41" s="3">
        <f>Inputs!C65</f>
        <v>0</v>
      </c>
    </row>
    <row r="42" spans="1:9" x14ac:dyDescent="0.25">
      <c r="A42" s="3">
        <f>Inputs!C66</f>
        <v>0</v>
      </c>
    </row>
    <row r="43" spans="1:9" x14ac:dyDescent="0.25">
      <c r="A43" s="3">
        <f>Inputs!V$2</f>
        <v>16</v>
      </c>
      <c r="D43">
        <v>1</v>
      </c>
      <c r="E43" t="s">
        <v>32</v>
      </c>
      <c r="G43" t="s">
        <v>33</v>
      </c>
      <c r="H43" s="25" t="s">
        <v>56</v>
      </c>
      <c r="I43" t="str">
        <f>CONCATENATE("=",E43,F43,G43,H43)</f>
        <v>=Inputs!M$2</v>
      </c>
    </row>
    <row r="44" spans="1:9" x14ac:dyDescent="0.25">
      <c r="A44" s="3">
        <f>Inputs!AF$2</f>
        <v>31</v>
      </c>
      <c r="D44">
        <v>2</v>
      </c>
      <c r="E44" t="s">
        <v>32</v>
      </c>
      <c r="G44" t="s">
        <v>34</v>
      </c>
      <c r="H44" s="25" t="s">
        <v>56</v>
      </c>
      <c r="I44" t="str">
        <f ref="I44:I92" si="0" t="shared">CONCATENATE("=",E44,F44,G44,H44)</f>
        <v>=Inputs!N$2</v>
      </c>
    </row>
    <row r="45" spans="1:9" x14ac:dyDescent="0.25">
      <c r="A45" s="3">
        <f>Inputs!AG$2</f>
        <v>35</v>
      </c>
      <c r="D45">
        <v>3</v>
      </c>
      <c r="E45" t="s">
        <v>32</v>
      </c>
      <c r="G45" t="s">
        <v>35</v>
      </c>
      <c r="H45" s="25" t="s">
        <v>56</v>
      </c>
      <c r="I45" t="str">
        <f si="0" t="shared"/>
        <v>=Inputs!O$2</v>
      </c>
    </row>
    <row r="46" spans="1:9" x14ac:dyDescent="0.25">
      <c r="A46" s="3">
        <f>Inputs!AH$2</f>
        <v>39</v>
      </c>
      <c r="D46">
        <v>4</v>
      </c>
      <c r="E46" t="s">
        <v>32</v>
      </c>
      <c r="G46" t="s">
        <v>36</v>
      </c>
      <c r="H46" s="25" t="s">
        <v>56</v>
      </c>
      <c r="I46" t="str">
        <f si="0" t="shared"/>
        <v>=Inputs!P$2</v>
      </c>
    </row>
    <row r="47" spans="1:9" x14ac:dyDescent="0.25">
      <c r="A47" s="3">
        <f>Inputs!AI$2</f>
        <v>44</v>
      </c>
      <c r="D47">
        <v>5</v>
      </c>
      <c r="E47" t="s">
        <v>32</v>
      </c>
      <c r="G47" t="s">
        <v>37</v>
      </c>
      <c r="H47" s="25" t="s">
        <v>56</v>
      </c>
      <c r="I47" t="str">
        <f si="0" t="shared"/>
        <v>=Inputs!Q$2</v>
      </c>
    </row>
    <row r="48" spans="1:9" x14ac:dyDescent="0.25">
      <c r="A48" s="3">
        <f>Inputs!AJ$2</f>
        <v>45</v>
      </c>
      <c r="D48">
        <v>6</v>
      </c>
      <c r="E48" t="s">
        <v>32</v>
      </c>
      <c r="G48" t="s">
        <v>38</v>
      </c>
      <c r="H48" s="25" t="s">
        <v>56</v>
      </c>
      <c r="I48" t="str">
        <f si="0" t="shared"/>
        <v>=Inputs!R$2</v>
      </c>
    </row>
    <row r="49" spans="1:9" x14ac:dyDescent="0.25">
      <c r="A49" s="3">
        <f>Inputs!AK$2</f>
        <v>46</v>
      </c>
      <c r="D49">
        <v>7</v>
      </c>
      <c r="E49" t="s">
        <v>32</v>
      </c>
      <c r="G49" t="s">
        <v>39</v>
      </c>
      <c r="H49" s="25" t="s">
        <v>56</v>
      </c>
      <c r="I49" t="str">
        <f si="0" t="shared"/>
        <v>=Inputs!S$2</v>
      </c>
    </row>
    <row r="50" spans="1:9" x14ac:dyDescent="0.25">
      <c r="A50" s="3" t="e">
        <f>Inputs!#REF!</f>
        <v>#REF!</v>
      </c>
      <c r="D50">
        <v>8</v>
      </c>
      <c r="E50" t="s">
        <v>32</v>
      </c>
      <c r="G50" t="s">
        <v>40</v>
      </c>
      <c r="H50" s="25" t="s">
        <v>56</v>
      </c>
      <c r="I50" t="str">
        <f si="0" t="shared"/>
        <v>=Inputs!T$2</v>
      </c>
    </row>
    <row r="51" spans="1:9" x14ac:dyDescent="0.25">
      <c r="A51" s="3" t="e">
        <f>Inputs!#REF!</f>
        <v>#REF!</v>
      </c>
      <c r="D51">
        <v>9</v>
      </c>
      <c r="E51" t="s">
        <v>32</v>
      </c>
      <c r="G51" t="s">
        <v>41</v>
      </c>
      <c r="H51" s="25" t="s">
        <v>56</v>
      </c>
      <c r="I51" t="str">
        <f si="0" t="shared"/>
        <v>=Inputs!U$2</v>
      </c>
    </row>
    <row r="52" spans="1:9" x14ac:dyDescent="0.25">
      <c r="A52" s="3" t="e">
        <f>Inputs!#REF!</f>
        <v>#REF!</v>
      </c>
      <c r="D52">
        <v>10</v>
      </c>
      <c r="E52" t="s">
        <v>32</v>
      </c>
      <c r="G52" t="s">
        <v>2</v>
      </c>
      <c r="H52" s="25" t="s">
        <v>56</v>
      </c>
      <c r="I52" t="str">
        <f si="0" t="shared"/>
        <v>=Inputs!V$2</v>
      </c>
    </row>
    <row r="53" spans="1:9" x14ac:dyDescent="0.25">
      <c r="A53" s="3" t="e">
        <f>Inputs!#REF!</f>
        <v>#REF!</v>
      </c>
      <c r="D53">
        <v>11</v>
      </c>
      <c r="E53" t="s">
        <v>32</v>
      </c>
      <c r="G53" t="s">
        <v>42</v>
      </c>
      <c r="H53" s="25" t="s">
        <v>56</v>
      </c>
      <c r="I53" t="str">
        <f si="0" t="shared"/>
        <v>=Inputs!W$2</v>
      </c>
    </row>
    <row r="54" spans="1:9" x14ac:dyDescent="0.25">
      <c r="A54" s="3" t="e">
        <f>Inputs!#REF!</f>
        <v>#REF!</v>
      </c>
      <c r="D54">
        <v>12</v>
      </c>
      <c r="E54" t="s">
        <v>32</v>
      </c>
      <c r="G54" t="s">
        <v>43</v>
      </c>
      <c r="H54" s="25" t="s">
        <v>56</v>
      </c>
      <c r="I54" t="str">
        <f si="0" t="shared"/>
        <v>=Inputs!X$2</v>
      </c>
    </row>
    <row r="55" spans="1:9" x14ac:dyDescent="0.25">
      <c r="A55" s="3" t="e">
        <f>Inputs!#REF!</f>
        <v>#REF!</v>
      </c>
      <c r="D55">
        <v>13</v>
      </c>
      <c r="E55" t="s">
        <v>32</v>
      </c>
      <c r="G55" t="s">
        <v>44</v>
      </c>
      <c r="H55" s="25" t="s">
        <v>56</v>
      </c>
      <c r="I55" t="str">
        <f si="0" t="shared"/>
        <v>=Inputs!Y$2</v>
      </c>
    </row>
    <row r="56" spans="1:9" x14ac:dyDescent="0.25">
      <c r="A56" s="3" t="e">
        <f>Inputs!#REF!</f>
        <v>#REF!</v>
      </c>
      <c r="D56">
        <v>14</v>
      </c>
      <c r="E56" t="s">
        <v>32</v>
      </c>
      <c r="G56" t="s">
        <v>45</v>
      </c>
      <c r="H56" s="25" t="s">
        <v>56</v>
      </c>
      <c r="I56" t="str">
        <f si="0" t="shared"/>
        <v>=Inputs!Z$2</v>
      </c>
    </row>
    <row r="57" spans="1:9" x14ac:dyDescent="0.25">
      <c r="A57" s="3" t="e">
        <f>Inputs!#REF!</f>
        <v>#REF!</v>
      </c>
      <c r="D57">
        <v>15</v>
      </c>
      <c r="E57" t="s">
        <v>32</v>
      </c>
      <c r="F57" t="s">
        <v>46</v>
      </c>
      <c r="G57" t="s">
        <v>46</v>
      </c>
      <c r="H57" s="25" t="s">
        <v>56</v>
      </c>
      <c r="I57" t="str">
        <f si="0" t="shared"/>
        <v>=Inputs!AA$2</v>
      </c>
    </row>
    <row r="58" spans="1:9" x14ac:dyDescent="0.25">
      <c r="A58" s="3">
        <f>Inputs!AO$2</f>
        <v>0</v>
      </c>
      <c r="D58">
        <v>16</v>
      </c>
      <c r="E58" t="s">
        <v>32</v>
      </c>
      <c r="F58" t="s">
        <v>46</v>
      </c>
      <c r="G58" t="s">
        <v>30</v>
      </c>
      <c r="H58" s="25" t="s">
        <v>56</v>
      </c>
      <c r="I58" t="str">
        <f si="0" t="shared"/>
        <v>=Inputs!AB$2</v>
      </c>
    </row>
    <row r="59" spans="1:9" x14ac:dyDescent="0.25">
      <c r="A59" s="3">
        <f>Inputs!AP$2</f>
        <v>0</v>
      </c>
      <c r="D59">
        <v>17</v>
      </c>
      <c r="E59" t="s">
        <v>32</v>
      </c>
      <c r="F59" t="s">
        <v>46</v>
      </c>
      <c r="G59" t="s">
        <v>47</v>
      </c>
      <c r="H59" s="25" t="s">
        <v>56</v>
      </c>
      <c r="I59" t="str">
        <f si="0" t="shared"/>
        <v>=Inputs!AC$2</v>
      </c>
    </row>
    <row r="60" spans="1:9" x14ac:dyDescent="0.25">
      <c r="A60" s="3">
        <f>Inputs!AQ$2</f>
        <v>0</v>
      </c>
      <c r="D60">
        <v>18</v>
      </c>
      <c r="E60" t="s">
        <v>32</v>
      </c>
      <c r="F60" t="s">
        <v>46</v>
      </c>
      <c r="G60" t="s">
        <v>29</v>
      </c>
      <c r="H60" s="25" t="s">
        <v>56</v>
      </c>
      <c r="I60" t="str">
        <f si="0" t="shared"/>
        <v>=Inputs!AD$2</v>
      </c>
    </row>
    <row r="61" spans="1:9" x14ac:dyDescent="0.25">
      <c r="A61" s="3">
        <f>Inputs!AR$2</f>
        <v>0</v>
      </c>
      <c r="D61">
        <v>19</v>
      </c>
      <c r="E61" t="s">
        <v>32</v>
      </c>
      <c r="F61" t="s">
        <v>46</v>
      </c>
      <c r="G61" t="s">
        <v>48</v>
      </c>
      <c r="H61" s="25" t="s">
        <v>56</v>
      </c>
      <c r="I61" t="str">
        <f si="0" t="shared"/>
        <v>=Inputs!AE$2</v>
      </c>
    </row>
    <row r="62" spans="1:9" x14ac:dyDescent="0.25">
      <c r="A62" s="3">
        <f>Inputs!AS$2</f>
        <v>0</v>
      </c>
      <c r="D62">
        <v>20</v>
      </c>
      <c r="E62" t="s">
        <v>32</v>
      </c>
      <c r="F62" t="s">
        <v>46</v>
      </c>
      <c r="G62" t="s">
        <v>49</v>
      </c>
      <c r="H62" s="25" t="s">
        <v>56</v>
      </c>
      <c r="I62" t="str">
        <f si="0" t="shared"/>
        <v>=Inputs!AF$2</v>
      </c>
    </row>
    <row r="63" spans="1:9" x14ac:dyDescent="0.25">
      <c r="A63" s="3">
        <f>Inputs!AT$2</f>
        <v>0</v>
      </c>
      <c r="D63">
        <v>21</v>
      </c>
      <c r="E63" t="s">
        <v>32</v>
      </c>
      <c r="F63" t="s">
        <v>46</v>
      </c>
      <c r="G63" t="s">
        <v>50</v>
      </c>
      <c r="H63" s="25" t="s">
        <v>56</v>
      </c>
      <c r="I63" t="str">
        <f si="0" t="shared"/>
        <v>=Inputs!AG$2</v>
      </c>
    </row>
    <row r="64" spans="1:9" x14ac:dyDescent="0.25">
      <c r="A64" s="3">
        <f>Inputs!AU$2</f>
        <v>0</v>
      </c>
      <c r="D64">
        <v>22</v>
      </c>
      <c r="E64" t="s">
        <v>32</v>
      </c>
      <c r="F64" t="s">
        <v>46</v>
      </c>
      <c r="G64" t="s">
        <v>51</v>
      </c>
      <c r="H64" s="25" t="s">
        <v>56</v>
      </c>
      <c r="I64" t="str">
        <f si="0" t="shared"/>
        <v>=Inputs!AH$2</v>
      </c>
    </row>
    <row r="65" spans="1:9" x14ac:dyDescent="0.25">
      <c r="A65" s="3">
        <f>Inputs!AV$2</f>
        <v>0</v>
      </c>
      <c r="D65">
        <v>23</v>
      </c>
      <c r="E65" t="s">
        <v>32</v>
      </c>
      <c r="F65" t="s">
        <v>46</v>
      </c>
      <c r="G65" t="s">
        <v>52</v>
      </c>
      <c r="H65" s="25" t="s">
        <v>56</v>
      </c>
      <c r="I65" t="str">
        <f si="0" t="shared"/>
        <v>=Inputs!AI$2</v>
      </c>
    </row>
    <row r="66" spans="1:9" x14ac:dyDescent="0.25">
      <c r="A66" s="3">
        <f>Inputs!C17</f>
        <v>1</v>
      </c>
      <c r="D66">
        <v>24</v>
      </c>
      <c r="E66" t="s">
        <v>32</v>
      </c>
      <c r="F66" t="s">
        <v>46</v>
      </c>
      <c r="G66" t="s">
        <v>53</v>
      </c>
      <c r="H66" s="25" t="s">
        <v>56</v>
      </c>
      <c r="I66" t="str">
        <f si="0" t="shared"/>
        <v>=Inputs!AJ$2</v>
      </c>
    </row>
    <row r="67" spans="1:9" x14ac:dyDescent="0.25">
      <c r="A67" s="3">
        <f>Inputs!C18</f>
        <v>3</v>
      </c>
      <c r="D67">
        <v>25</v>
      </c>
      <c r="E67" t="s">
        <v>32</v>
      </c>
      <c r="F67" t="s">
        <v>46</v>
      </c>
      <c r="G67" t="s">
        <v>54</v>
      </c>
      <c r="H67" s="25" t="s">
        <v>56</v>
      </c>
      <c r="I67" t="str">
        <f si="0" t="shared"/>
        <v>=Inputs!AK$2</v>
      </c>
    </row>
    <row r="68" spans="1:9" x14ac:dyDescent="0.25">
      <c r="A68" s="3">
        <f>Inputs!C19</f>
        <v>8</v>
      </c>
      <c r="D68">
        <v>26</v>
      </c>
      <c r="E68" t="s">
        <v>32</v>
      </c>
      <c r="F68" t="s">
        <v>46</v>
      </c>
      <c r="G68" t="s">
        <v>55</v>
      </c>
      <c r="H68" s="25" t="s">
        <v>56</v>
      </c>
      <c r="I68" t="str">
        <f si="0" t="shared"/>
        <v>=Inputs!AL$2</v>
      </c>
    </row>
    <row r="69" spans="1:9" x14ac:dyDescent="0.25">
      <c r="A69" s="3">
        <f>Inputs!C3</f>
        <v>4</v>
      </c>
      <c r="D69">
        <v>27</v>
      </c>
      <c r="E69" t="s">
        <v>32</v>
      </c>
      <c r="F69" t="s">
        <v>46</v>
      </c>
      <c r="G69" t="s">
        <v>33</v>
      </c>
      <c r="H69" s="25" t="s">
        <v>56</v>
      </c>
      <c r="I69" t="str">
        <f si="0" t="shared"/>
        <v>=Inputs!AM$2</v>
      </c>
    </row>
    <row r="70" spans="1:9" x14ac:dyDescent="0.25">
      <c r="A70" s="3">
        <f>Inputs!N$2</f>
        <v>5</v>
      </c>
      <c r="D70">
        <v>28</v>
      </c>
      <c r="E70" t="s">
        <v>32</v>
      </c>
      <c r="F70" t="s">
        <v>46</v>
      </c>
      <c r="G70" t="s">
        <v>34</v>
      </c>
      <c r="H70" s="25" t="s">
        <v>56</v>
      </c>
      <c r="I70" t="str">
        <f si="0" t="shared"/>
        <v>=Inputs!AN$2</v>
      </c>
    </row>
    <row r="71" spans="1:9" x14ac:dyDescent="0.25">
      <c r="A71" s="3">
        <f>Inputs!O$2</f>
        <v>6</v>
      </c>
      <c r="D71">
        <v>29</v>
      </c>
      <c r="E71" t="s">
        <v>32</v>
      </c>
      <c r="F71" t="s">
        <v>46</v>
      </c>
      <c r="G71" t="s">
        <v>35</v>
      </c>
      <c r="H71" s="25" t="s">
        <v>56</v>
      </c>
      <c r="I71" t="str">
        <f si="0" t="shared"/>
        <v>=Inputs!AO$2</v>
      </c>
    </row>
    <row r="72" spans="1:9" x14ac:dyDescent="0.25">
      <c r="A72" s="3">
        <f>Inputs!R$2</f>
        <v>12</v>
      </c>
      <c r="D72">
        <v>30</v>
      </c>
      <c r="E72" t="s">
        <v>32</v>
      </c>
      <c r="F72" t="s">
        <v>46</v>
      </c>
      <c r="G72" t="s">
        <v>36</v>
      </c>
      <c r="H72" s="25" t="s">
        <v>56</v>
      </c>
      <c r="I72" t="str">
        <f si="0" t="shared"/>
        <v>=Inputs!AP$2</v>
      </c>
    </row>
    <row r="73" spans="1:9" x14ac:dyDescent="0.25">
      <c r="A73" s="3" t="e">
        <f>Inputs!#REF!</f>
        <v>#REF!</v>
      </c>
      <c r="D73">
        <v>31</v>
      </c>
      <c r="E73" t="s">
        <v>32</v>
      </c>
      <c r="F73" t="s">
        <v>46</v>
      </c>
      <c r="G73" t="s">
        <v>37</v>
      </c>
      <c r="H73" s="25" t="s">
        <v>56</v>
      </c>
      <c r="I73" t="str">
        <f si="0" t="shared"/>
        <v>=Inputs!AQ$2</v>
      </c>
    </row>
    <row r="74" spans="1:9" x14ac:dyDescent="0.25">
      <c r="A74" s="3">
        <f>Inputs!C4</f>
        <v>9</v>
      </c>
      <c r="D74">
        <v>32</v>
      </c>
      <c r="E74" t="s">
        <v>32</v>
      </c>
      <c r="F74" t="s">
        <v>46</v>
      </c>
      <c r="G74" t="s">
        <v>38</v>
      </c>
      <c r="H74" s="25" t="s">
        <v>56</v>
      </c>
      <c r="I74" t="str">
        <f si="0" t="shared"/>
        <v>=Inputs!AR$2</v>
      </c>
    </row>
    <row r="75" spans="1:9" x14ac:dyDescent="0.25">
      <c r="A75" s="3">
        <f>Inputs!C5</f>
        <v>10</v>
      </c>
      <c r="D75">
        <v>33</v>
      </c>
      <c r="E75" t="s">
        <v>32</v>
      </c>
      <c r="F75" t="s">
        <v>46</v>
      </c>
      <c r="G75" t="s">
        <v>39</v>
      </c>
      <c r="H75" s="25" t="s">
        <v>56</v>
      </c>
      <c r="I75" t="str">
        <f si="0" t="shared"/>
        <v>=Inputs!AS$2</v>
      </c>
    </row>
    <row r="76" spans="1:9" x14ac:dyDescent="0.25">
      <c r="A76" s="3" t="e">
        <f>Inputs!#REF!</f>
        <v>#REF!</v>
      </c>
      <c r="D76">
        <v>34</v>
      </c>
      <c r="E76" t="s">
        <v>32</v>
      </c>
      <c r="F76" t="s">
        <v>46</v>
      </c>
      <c r="G76" t="s">
        <v>40</v>
      </c>
      <c r="H76" s="25" t="s">
        <v>56</v>
      </c>
      <c r="I76" t="str">
        <f si="0" t="shared"/>
        <v>=Inputs!AT$2</v>
      </c>
    </row>
    <row r="77" spans="1:9" x14ac:dyDescent="0.25">
      <c r="A77" s="3" t="str">
        <f>Inputs!B20</f>
        <v>IAG_mapped_class</v>
      </c>
      <c r="D77">
        <v>35</v>
      </c>
      <c r="E77" t="s">
        <v>32</v>
      </c>
      <c r="F77" t="s">
        <v>46</v>
      </c>
      <c r="G77" t="s">
        <v>41</v>
      </c>
      <c r="H77" s="25" t="s">
        <v>56</v>
      </c>
      <c r="I77" t="str">
        <f si="0" t="shared"/>
        <v>=Inputs!AU$2</v>
      </c>
    </row>
    <row r="78" spans="1:9" x14ac:dyDescent="0.25">
      <c r="A78" s="3">
        <f>Inputs!C20</f>
        <v>23</v>
      </c>
      <c r="D78">
        <v>36</v>
      </c>
      <c r="E78" t="s">
        <v>32</v>
      </c>
      <c r="F78" t="s">
        <v>46</v>
      </c>
      <c r="G78" t="s">
        <v>2</v>
      </c>
      <c r="H78" s="25" t="s">
        <v>56</v>
      </c>
      <c r="I78" t="str">
        <f si="0" t="shared"/>
        <v>=Inputs!AV$2</v>
      </c>
    </row>
    <row r="79" spans="1:9" x14ac:dyDescent="0.25">
      <c r="A79" s="3">
        <f>Inputs!C21</f>
        <v>24</v>
      </c>
      <c r="D79">
        <v>37</v>
      </c>
      <c r="E79" t="s">
        <v>32</v>
      </c>
      <c r="F79" t="s">
        <v>46</v>
      </c>
      <c r="G79" t="s">
        <v>42</v>
      </c>
      <c r="H79" s="25" t="s">
        <v>56</v>
      </c>
      <c r="I79" t="str">
        <f si="0" t="shared"/>
        <v>=Inputs!AW$2</v>
      </c>
    </row>
    <row r="80" spans="1:9" x14ac:dyDescent="0.25">
      <c r="A80" s="3">
        <f>Inputs!C22</f>
        <v>25</v>
      </c>
      <c r="D80">
        <v>38</v>
      </c>
      <c r="E80" t="s">
        <v>32</v>
      </c>
      <c r="F80" t="s">
        <v>46</v>
      </c>
      <c r="G80" t="s">
        <v>43</v>
      </c>
      <c r="H80" s="25" t="s">
        <v>56</v>
      </c>
      <c r="I80" t="str">
        <f si="0" t="shared"/>
        <v>=Inputs!AX$2</v>
      </c>
    </row>
    <row r="81" spans="1:9" x14ac:dyDescent="0.25">
      <c r="A81" s="3" t="e">
        <f>Inputs!#REF!</f>
        <v>#REF!</v>
      </c>
      <c r="D81">
        <v>39</v>
      </c>
      <c r="E81" t="s">
        <v>32</v>
      </c>
      <c r="F81" t="s">
        <v>46</v>
      </c>
      <c r="G81" t="s">
        <v>44</v>
      </c>
      <c r="H81" s="25" t="s">
        <v>56</v>
      </c>
      <c r="I81" t="str">
        <f si="0" t="shared"/>
        <v>=Inputs!AY$2</v>
      </c>
    </row>
    <row r="82" spans="1:9" x14ac:dyDescent="0.25">
      <c r="A82" s="3" t="e">
        <f>Inputs!#REF!</f>
        <v>#REF!</v>
      </c>
      <c r="D82">
        <v>40</v>
      </c>
      <c r="E82" t="s">
        <v>32</v>
      </c>
      <c r="F82" t="s">
        <v>46</v>
      </c>
      <c r="G82" t="s">
        <v>45</v>
      </c>
      <c r="H82" s="25" t="s">
        <v>56</v>
      </c>
      <c r="I82" t="str">
        <f si="0" t="shared"/>
        <v>=Inputs!AZ$2</v>
      </c>
    </row>
    <row r="83" spans="1:9" x14ac:dyDescent="0.25">
      <c r="A83" s="3" t="e">
        <f>Inputs!#REF!</f>
        <v>#REF!</v>
      </c>
      <c r="D83">
        <v>41</v>
      </c>
      <c r="E83" t="s">
        <v>32</v>
      </c>
      <c r="F83" t="s">
        <v>30</v>
      </c>
      <c r="G83" t="s">
        <v>46</v>
      </c>
      <c r="H83" s="25" t="s">
        <v>56</v>
      </c>
      <c r="I83" t="str">
        <f si="0" t="shared"/>
        <v>=Inputs!BA$2</v>
      </c>
    </row>
    <row r="84" spans="1:9" x14ac:dyDescent="0.25">
      <c r="A84" s="3" t="e">
        <f>Inputs!#REF!</f>
        <v>#REF!</v>
      </c>
      <c r="D84">
        <v>42</v>
      </c>
      <c r="E84" t="s">
        <v>32</v>
      </c>
      <c r="F84" t="s">
        <v>30</v>
      </c>
      <c r="G84" t="s">
        <v>30</v>
      </c>
      <c r="H84" s="25" t="s">
        <v>56</v>
      </c>
      <c r="I84" t="str">
        <f si="0" t="shared"/>
        <v>=Inputs!BB$2</v>
      </c>
    </row>
    <row r="85" spans="1:9" x14ac:dyDescent="0.25">
      <c r="A85" s="3" t="e">
        <f>Inputs!#REF!</f>
        <v>#REF!</v>
      </c>
      <c r="D85">
        <v>43</v>
      </c>
      <c r="E85" t="s">
        <v>32</v>
      </c>
      <c r="F85" t="s">
        <v>30</v>
      </c>
      <c r="G85" t="s">
        <v>47</v>
      </c>
      <c r="H85" s="25" t="s">
        <v>56</v>
      </c>
      <c r="I85" t="str">
        <f si="0" t="shared"/>
        <v>=Inputs!BC$2</v>
      </c>
    </row>
    <row r="86" spans="1:9" x14ac:dyDescent="0.25">
      <c r="A86" s="3" t="e">
        <f>Inputs!#REF!</f>
        <v>#REF!</v>
      </c>
      <c r="D86">
        <v>44</v>
      </c>
      <c r="E86" t="s">
        <v>32</v>
      </c>
      <c r="F86" t="s">
        <v>30</v>
      </c>
      <c r="G86" t="s">
        <v>29</v>
      </c>
      <c r="H86" s="25" t="s">
        <v>56</v>
      </c>
      <c r="I86" t="str">
        <f si="0" t="shared"/>
        <v>=Inputs!BD$2</v>
      </c>
    </row>
    <row r="87" spans="1:9" x14ac:dyDescent="0.25">
      <c r="A87" s="3" t="e">
        <f>Inputs!#REF!</f>
        <v>#REF!</v>
      </c>
      <c r="D87">
        <v>45</v>
      </c>
      <c r="E87" t="s">
        <v>32</v>
      </c>
      <c r="F87" t="s">
        <v>30</v>
      </c>
      <c r="G87" t="s">
        <v>48</v>
      </c>
      <c r="H87" s="25" t="s">
        <v>56</v>
      </c>
      <c r="I87" t="str">
        <f si="0" t="shared"/>
        <v>=Inputs!BE$2</v>
      </c>
    </row>
    <row r="88" spans="1:9" x14ac:dyDescent="0.25">
      <c r="A88" s="3">
        <f>Inputs!C23</f>
        <v>26</v>
      </c>
      <c r="D88">
        <v>46</v>
      </c>
      <c r="E88" t="s">
        <v>32</v>
      </c>
      <c r="F88" t="s">
        <v>30</v>
      </c>
      <c r="G88" t="s">
        <v>49</v>
      </c>
      <c r="H88" s="25" t="s">
        <v>56</v>
      </c>
      <c r="I88" t="str">
        <f si="0" t="shared"/>
        <v>=Inputs!BF$2</v>
      </c>
    </row>
    <row r="89" spans="1:9" x14ac:dyDescent="0.25">
      <c r="A89" s="3">
        <f>Inputs!C24</f>
        <v>27</v>
      </c>
      <c r="D89">
        <v>47</v>
      </c>
      <c r="E89" t="s">
        <v>32</v>
      </c>
      <c r="F89" t="s">
        <v>30</v>
      </c>
      <c r="G89" t="s">
        <v>50</v>
      </c>
      <c r="H89" s="25" t="s">
        <v>56</v>
      </c>
      <c r="I89" t="str">
        <f si="0" t="shared"/>
        <v>=Inputs!BG$2</v>
      </c>
    </row>
    <row r="90" spans="1:9" x14ac:dyDescent="0.25">
      <c r="A90" s="3" t="e">
        <f>Inputs!#REF!</f>
        <v>#REF!</v>
      </c>
      <c r="D90">
        <v>48</v>
      </c>
      <c r="E90" t="s">
        <v>32</v>
      </c>
      <c r="F90" t="s">
        <v>30</v>
      </c>
      <c r="G90" t="s">
        <v>51</v>
      </c>
      <c r="H90" s="25" t="s">
        <v>56</v>
      </c>
      <c r="I90" t="str">
        <f si="0" t="shared"/>
        <v>=Inputs!BH$2</v>
      </c>
    </row>
    <row r="91" spans="1:9" x14ac:dyDescent="0.25">
      <c r="A91" s="3" t="e">
        <f>Inputs!#REF!</f>
        <v>#REF!</v>
      </c>
      <c r="D91">
        <v>49</v>
      </c>
      <c r="E91" t="s">
        <v>32</v>
      </c>
      <c r="F91" t="s">
        <v>30</v>
      </c>
      <c r="G91" t="s">
        <v>52</v>
      </c>
      <c r="H91" s="25" t="s">
        <v>56</v>
      </c>
      <c r="I91" t="str">
        <f si="0" t="shared"/>
        <v>=Inputs!BI$2</v>
      </c>
    </row>
    <row r="92" spans="1:9" x14ac:dyDescent="0.25">
      <c r="A92" s="3" t="e">
        <f>Inputs!#REF!</f>
        <v>#REF!</v>
      </c>
      <c r="D92">
        <v>50</v>
      </c>
      <c r="E92" t="s">
        <v>32</v>
      </c>
      <c r="F92" t="s">
        <v>30</v>
      </c>
      <c r="G92" t="s">
        <v>53</v>
      </c>
      <c r="H92" s="25" t="s">
        <v>56</v>
      </c>
      <c r="I92" t="str">
        <f si="0" t="shared"/>
        <v>=Inputs!BJ$2</v>
      </c>
    </row>
    <row r="93" spans="1:9" x14ac:dyDescent="0.25">
      <c r="A93" s="3" t="e">
        <f>Inputs!#REF!</f>
        <v>#REF!</v>
      </c>
    </row>
    <row r="94" spans="1:9" x14ac:dyDescent="0.25">
      <c r="A94" s="3" t="e">
        <f>Inputs!#REF!</f>
        <v>#REF!</v>
      </c>
    </row>
    <row r="95" spans="1:9" x14ac:dyDescent="0.25">
      <c r="A95" s="3">
        <f>Inputs!C25</f>
        <v>28</v>
      </c>
    </row>
    <row r="96" spans="1:9" x14ac:dyDescent="0.25">
      <c r="A96" s="3" t="e">
        <f>Inputs!#REF!</f>
        <v>#REF!</v>
      </c>
    </row>
    <row r="97" spans="1:1" x14ac:dyDescent="0.25">
      <c r="A97" s="3">
        <f>Inputs!C26</f>
        <v>30</v>
      </c>
    </row>
    <row r="98" spans="1:1" x14ac:dyDescent="0.25">
      <c r="A98" s="3" t="e">
        <f>Inputs!#REF!</f>
        <v>#REF!</v>
      </c>
    </row>
    <row r="99" spans="1:1" x14ac:dyDescent="0.25">
      <c r="A99" s="3" t="e">
        <f>Inputs!#REF!</f>
        <v>#REF!</v>
      </c>
    </row>
    <row r="100" spans="1:1" x14ac:dyDescent="0.25">
      <c r="A100" s="3" t="e">
        <f>Inputs!#REF!</f>
        <v>#REF!</v>
      </c>
    </row>
    <row r="101" spans="1:1" x14ac:dyDescent="0.25">
      <c r="A101" s="3">
        <f>Inputs!P$2</f>
        <v>7</v>
      </c>
    </row>
    <row r="102" spans="1:1" x14ac:dyDescent="0.25">
      <c r="A102" s="3">
        <f>Inputs!Q$2</f>
        <v>11</v>
      </c>
    </row>
    <row r="103" spans="1:1" x14ac:dyDescent="0.25">
      <c r="A103" s="3">
        <f>Inputs!T$2</f>
        <v>14</v>
      </c>
    </row>
    <row r="104" spans="1:1" x14ac:dyDescent="0.25">
      <c r="A104" s="3">
        <f>Inputs!U$2</f>
        <v>15</v>
      </c>
    </row>
    <row r="105" spans="1:1" x14ac:dyDescent="0.25">
      <c r="A105" s="3">
        <f>Inputs!X$2</f>
        <v>18</v>
      </c>
    </row>
    <row r="106" spans="1:1" x14ac:dyDescent="0.25">
      <c r="A106" s="3">
        <f>Inputs!Y$2</f>
        <v>19</v>
      </c>
    </row>
    <row r="107" spans="1:1" x14ac:dyDescent="0.25">
      <c r="A107" s="3">
        <f>Inputs!Z$2</f>
        <v>20</v>
      </c>
    </row>
    <row r="108" spans="1:1" x14ac:dyDescent="0.25">
      <c r="A108" s="3">
        <f>Inputs!C27</f>
        <v>32</v>
      </c>
    </row>
    <row r="109" spans="1:1" x14ac:dyDescent="0.25">
      <c r="A109" s="3">
        <f>Inputs!C28</f>
        <v>33</v>
      </c>
    </row>
    <row r="110" spans="1:1" x14ac:dyDescent="0.25">
      <c r="A110" s="3">
        <f>Inputs!C29</f>
        <v>34</v>
      </c>
    </row>
    <row r="111" spans="1:1" x14ac:dyDescent="0.25">
      <c r="A111" s="3" t="e">
        <f>Inputs!#REF!</f>
        <v>#REF!</v>
      </c>
    </row>
  </sheetData>
  <autoFilter ref="A1:A47"/>
  <sortState ref="A2:A111">
    <sortCondition ref="A2:A111"/>
  </sortState>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X22"/>
  <sheetViews>
    <sheetView workbookViewId="0">
      <selection activeCell="H16" sqref="H16"/>
    </sheetView>
  </sheetViews>
  <sheetFormatPr defaultRowHeight="15" x14ac:dyDescent="0.25"/>
  <cols>
    <col min="1" max="1" customWidth="true" width="11.85546875" collapsed="true"/>
    <col min="6" max="7" customWidth="true" width="10.28515625" collapsed="true"/>
    <col min="8" max="8" customWidth="true" width="20.28515625" collapsed="true"/>
    <col min="11" max="11" customWidth="true" width="19.42578125" collapsed="true"/>
    <col min="12" max="12" customWidth="true" width="14.85546875" collapsed="true"/>
    <col min="16" max="16" customWidth="true" width="13.7109375" collapsed="true"/>
    <col min="20" max="20" customWidth="true" width="15.7109375" collapsed="true"/>
    <col min="22" max="22" customWidth="true" width="20.5703125" collapsed="true"/>
  </cols>
  <sheetData>
    <row customFormat="1" r="1" s="2" spans="1:23" x14ac:dyDescent="0.25">
      <c r="A1" s="2">
        <v>1</v>
      </c>
      <c r="B1" s="2">
        <v>2</v>
      </c>
      <c r="C1" s="2">
        <v>3</v>
      </c>
      <c r="D1" s="2">
        <v>4</v>
      </c>
      <c r="E1" s="2">
        <v>5</v>
      </c>
      <c r="F1" s="2">
        <v>6</v>
      </c>
      <c r="G1" s="2">
        <v>7</v>
      </c>
      <c r="H1" s="2">
        <v>8</v>
      </c>
      <c r="I1" s="2">
        <v>9</v>
      </c>
      <c r="J1" s="2">
        <v>10</v>
      </c>
      <c r="K1" s="2">
        <v>11</v>
      </c>
      <c r="L1" s="2">
        <v>12</v>
      </c>
      <c r="M1" s="2">
        <v>13</v>
      </c>
      <c r="N1" s="2">
        <v>14</v>
      </c>
      <c r="O1" s="2">
        <v>15</v>
      </c>
      <c r="P1" s="2">
        <v>16</v>
      </c>
      <c r="Q1" s="2">
        <v>17</v>
      </c>
      <c r="R1" s="2">
        <v>18</v>
      </c>
      <c r="S1" s="2">
        <v>19</v>
      </c>
      <c r="T1" s="2">
        <v>20</v>
      </c>
      <c r="U1" s="2">
        <v>21</v>
      </c>
      <c r="V1" s="2">
        <v>22</v>
      </c>
      <c r="W1" s="2">
        <v>23</v>
      </c>
    </row>
    <row r="3" spans="1:23" x14ac:dyDescent="0.25">
      <c r="A3" t="e">
        <f>Data1!#REF!</f>
        <v>#REF!</v>
      </c>
      <c r="B3" t="e">
        <f>Data1!#REF!</f>
        <v>#REF!</v>
      </c>
      <c r="D3" t="e">
        <f>Data1!#REF!</f>
        <v>#REF!</v>
      </c>
      <c r="E3" t="e">
        <f>Data1!#REF!</f>
        <v>#REF!</v>
      </c>
      <c r="F3" t="e">
        <f>Data1!#REF!</f>
        <v>#REF!</v>
      </c>
      <c r="G3" t="e">
        <f>Data1!#REF!</f>
        <v>#REF!</v>
      </c>
      <c r="H3" t="e">
        <f>Data1!#REF!</f>
        <v>#REF!</v>
      </c>
      <c r="I3" t="e">
        <f>Data1!#REF!</f>
        <v>#REF!</v>
      </c>
      <c r="J3" t="e">
        <f>Data1!#REF!</f>
        <v>#REF!</v>
      </c>
      <c r="K3" t="e">
        <f>Data1!#REF!</f>
        <v>#REF!</v>
      </c>
      <c r="L3" t="e">
        <f>Data1!#REF!</f>
        <v>#REF!</v>
      </c>
      <c r="M3" t="e">
        <f>Data1!#REF!</f>
        <v>#REF!</v>
      </c>
      <c r="N3" t="e">
        <f>Data1!#REF!</f>
        <v>#REF!</v>
      </c>
      <c r="P3" t="e">
        <f>Data1!#REF!</f>
        <v>#REF!</v>
      </c>
      <c r="Q3" t="e">
        <f>Data1!#REF!</f>
        <v>#REF!</v>
      </c>
      <c r="R3" t="e">
        <f>Data1!#REF!</f>
        <v>#REF!</v>
      </c>
      <c r="S3" t="e">
        <f>Data1!#REF!</f>
        <v>#REF!</v>
      </c>
      <c r="T3" t="e">
        <f>Data1!#REF!</f>
        <v>#REF!</v>
      </c>
      <c r="U3" t="e">
        <f>Data1!#REF!</f>
        <v>#REF!</v>
      </c>
      <c r="V3" t="e">
        <f>Data1!#REF!</f>
        <v>#REF!</v>
      </c>
      <c r="W3" t="e">
        <f>Data1!#REF!</f>
        <v>#REF!</v>
      </c>
    </row>
    <row r="4" spans="1:23" x14ac:dyDescent="0.25">
      <c r="A4">
        <f>Data1!A2</f>
        <v>0</v>
      </c>
      <c r="B4">
        <f>Data1!B2</f>
        <v>0</v>
      </c>
      <c r="D4">
        <f>Data1!C2</f>
        <v>0</v>
      </c>
      <c r="E4">
        <f>Data1!D2</f>
        <v>0</v>
      </c>
      <c r="F4">
        <f>Data1!E2</f>
        <v>0</v>
      </c>
      <c r="G4">
        <f>Data1!F2</f>
        <v>0</v>
      </c>
      <c r="H4">
        <f>Data1!G2</f>
        <v>0</v>
      </c>
      <c r="I4">
        <f>Data1!H2</f>
        <v>0</v>
      </c>
      <c r="J4">
        <f>Data1!I2</f>
        <v>0</v>
      </c>
      <c r="K4">
        <f>Data1!J2</f>
        <v>0</v>
      </c>
      <c r="L4">
        <f>Data1!K2</f>
        <v>0</v>
      </c>
      <c r="M4">
        <f>Data1!L2</f>
        <v>0</v>
      </c>
      <c r="N4">
        <f>Data1!M2</f>
        <v>0</v>
      </c>
      <c r="P4">
        <f>Data1!N2</f>
        <v>0</v>
      </c>
      <c r="Q4">
        <f>Data1!O2</f>
        <v>0</v>
      </c>
      <c r="R4">
        <f>Data1!P2</f>
        <v>0</v>
      </c>
      <c r="S4">
        <f>Data1!Q2</f>
        <v>0</v>
      </c>
      <c r="T4">
        <f>Data1!R2</f>
        <v>0</v>
      </c>
      <c r="U4">
        <f>Data1!S2</f>
        <v>0</v>
      </c>
      <c r="V4">
        <f>Data1!T2</f>
        <v>0</v>
      </c>
      <c r="W4">
        <f>Data1!U2</f>
        <v>0</v>
      </c>
    </row>
    <row r="5" spans="1:23" x14ac:dyDescent="0.25">
      <c r="A5" t="str">
        <f>Data1!A3</f>
        <v>D</v>
      </c>
      <c r="B5" t="str">
        <f>Data1!B3</f>
        <v>2</v>
      </c>
      <c r="D5" t="str">
        <f>Data1!C3</f>
        <v>0330</v>
      </c>
      <c r="E5" t="str">
        <f>Data1!D3</f>
        <v>000000104351</v>
      </c>
      <c r="F5" t="str">
        <f>Data1!E3</f>
        <v xml:space="preserve">18E </v>
      </c>
      <c r="G5" t="str">
        <f>Data1!F3</f>
        <v>18e</v>
      </c>
      <c r="H5" t="str">
        <f>Data1!G3</f>
        <v>2018060419000000</v>
      </c>
      <c r="I5" t="str">
        <f>Data1!H3</f>
        <v>1</v>
      </c>
      <c r="J5" t="str">
        <f>Data1!I3</f>
        <v>00847819</v>
      </c>
      <c r="K5" t="str">
        <f>Data1!J3</f>
        <v>00053581</v>
      </c>
      <c r="L5" t="str">
        <f>Data1!K3</f>
        <v xml:space="preserve">012 </v>
      </c>
      <c r="M5" t="str">
        <f>Data1!L3</f>
        <v>18E</v>
      </c>
      <c r="N5" t="str">
        <f>Data1!M3</f>
        <v>2018060418000000</v>
      </c>
      <c r="P5" t="str">
        <f>Data1!N3</f>
        <v>0229</v>
      </c>
      <c r="Q5" t="str">
        <f>Data1!O3</f>
        <v>0178</v>
      </c>
      <c r="R5" t="str">
        <f>Data1!P3</f>
        <v>000.00</v>
      </c>
      <c r="S5" t="str">
        <f>Data1!Q3</f>
        <v>000.00</v>
      </c>
      <c r="T5" t="str">
        <f>Data1!R3</f>
        <v>002.00</v>
      </c>
      <c r="U5" t="str">
        <f>Data1!S3</f>
        <v>002.00</v>
      </c>
      <c r="V5" t="str">
        <f>Data1!T3</f>
        <v>002.00</v>
      </c>
      <c r="W5" t="str">
        <f>Data1!U3</f>
        <v>03</v>
      </c>
    </row>
    <row r="6" spans="1:23" x14ac:dyDescent="0.25">
      <c r="A6" t="str">
        <f>Data1!A4</f>
        <v>D</v>
      </c>
      <c r="B6" t="str">
        <f>Data1!B4</f>
        <v>2</v>
      </c>
      <c r="D6" t="str">
        <f>Data1!C4</f>
        <v>0330</v>
      </c>
      <c r="E6" t="str">
        <f>Data1!D4</f>
        <v>000000104352</v>
      </c>
      <c r="F6" t="str">
        <f>Data1!E4</f>
        <v xml:space="preserve">18E </v>
      </c>
      <c r="G6" t="str">
        <f>Data1!F4</f>
        <v>18e</v>
      </c>
      <c r="H6" t="str">
        <f>Data1!G4</f>
        <v>2018060419300000</v>
      </c>
      <c r="I6" t="str">
        <f>Data1!H4</f>
        <v>1</v>
      </c>
      <c r="J6" t="str">
        <f>Data1!I4</f>
        <v>00847820</v>
      </c>
      <c r="K6" t="str">
        <f>Data1!J4</f>
        <v>00053582</v>
      </c>
      <c r="L6" t="str">
        <f>Data1!K4</f>
        <v xml:space="preserve">012 </v>
      </c>
      <c r="M6" t="str">
        <f>Data1!L4</f>
        <v>18E</v>
      </c>
      <c r="N6" t="str">
        <f>Data1!M4</f>
        <v>2018060418300000</v>
      </c>
      <c r="P6" t="str">
        <f>Data1!N4</f>
        <v>0229</v>
      </c>
      <c r="Q6" t="str">
        <f>Data1!O4</f>
        <v>0178</v>
      </c>
      <c r="R6" t="str">
        <f>Data1!P4</f>
        <v>000.00</v>
      </c>
      <c r="S6" t="str">
        <f>Data1!Q4</f>
        <v>000.00</v>
      </c>
      <c r="T6" t="str">
        <f>Data1!R4</f>
        <v>002.00</v>
      </c>
      <c r="U6" t="str">
        <f>Data1!S4</f>
        <v>002.00</v>
      </c>
      <c r="V6" t="str">
        <f>Data1!T4</f>
        <v>002.00</v>
      </c>
      <c r="W6" t="str">
        <f>Data1!U4</f>
        <v>03</v>
      </c>
    </row>
    <row r="7" spans="1:23" x14ac:dyDescent="0.25">
      <c r="A7" t="str">
        <f>Data1!A5</f>
        <v>D</v>
      </c>
      <c r="B7" t="str">
        <f>Data1!B5</f>
        <v>2</v>
      </c>
      <c r="D7" t="str">
        <f>Data1!C5</f>
        <v>0330</v>
      </c>
      <c r="E7" t="str">
        <f>Data1!D5</f>
        <v>000000104353</v>
      </c>
      <c r="F7" t="str">
        <f>Data1!E5</f>
        <v xml:space="preserve">18E </v>
      </c>
      <c r="G7" t="str">
        <f>Data1!F5</f>
        <v>18e</v>
      </c>
      <c r="H7" t="str">
        <f>Data1!G5</f>
        <v>2018060420000000</v>
      </c>
      <c r="I7" t="str">
        <f>Data1!H5</f>
        <v>1</v>
      </c>
      <c r="J7" t="str">
        <f>Data1!I5</f>
        <v>00847821</v>
      </c>
      <c r="K7" t="str">
        <f>Data1!J5</f>
        <v>00053583</v>
      </c>
      <c r="L7" t="str">
        <f>Data1!K5</f>
        <v xml:space="preserve">012 </v>
      </c>
      <c r="M7" t="str">
        <f>Data1!L5</f>
        <v>18E</v>
      </c>
      <c r="N7" t="str">
        <f>Data1!M5</f>
        <v>2018060419000000</v>
      </c>
      <c r="P7" t="str">
        <f>Data1!N5</f>
        <v>0229</v>
      </c>
      <c r="Q7" t="str">
        <f>Data1!O5</f>
        <v>0178</v>
      </c>
      <c r="R7" t="str">
        <f>Data1!P5</f>
        <v>000.00</v>
      </c>
      <c r="S7" t="str">
        <f>Data1!Q5</f>
        <v>000.00</v>
      </c>
      <c r="T7" t="str">
        <f>Data1!R5</f>
        <v>002.00</v>
      </c>
      <c r="U7" t="str">
        <f>Data1!S5</f>
        <v>002.00</v>
      </c>
      <c r="V7" t="str">
        <f>Data1!T5</f>
        <v>002.00</v>
      </c>
      <c r="W7" t="str">
        <f>Data1!U5</f>
        <v>03</v>
      </c>
    </row>
    <row r="8" spans="1:23" x14ac:dyDescent="0.25">
      <c r="A8" t="str">
        <f>Data1!A6</f>
        <v>D</v>
      </c>
      <c r="B8" t="str">
        <f>Data1!B6</f>
        <v>2</v>
      </c>
      <c r="D8" t="str">
        <f>Data1!C6</f>
        <v>0330</v>
      </c>
      <c r="E8" t="str">
        <f>Data1!D6</f>
        <v>000000104354</v>
      </c>
      <c r="F8" t="str">
        <f>Data1!E6</f>
        <v xml:space="preserve">18E </v>
      </c>
      <c r="G8" t="str">
        <f>Data1!F6</f>
        <v>18e</v>
      </c>
      <c r="H8" t="str">
        <f>Data1!G6</f>
        <v>2018060420300000</v>
      </c>
      <c r="I8" t="str">
        <f>Data1!H6</f>
        <v>1</v>
      </c>
      <c r="J8" t="str">
        <f>Data1!I6</f>
        <v>00847822</v>
      </c>
      <c r="K8" t="str">
        <f>Data1!J6</f>
        <v>00053584</v>
      </c>
      <c r="L8" t="str">
        <f>Data1!K6</f>
        <v xml:space="preserve">012 </v>
      </c>
      <c r="M8" t="str">
        <f>Data1!L6</f>
        <v>18E</v>
      </c>
      <c r="N8" t="str">
        <f>Data1!M6</f>
        <v>2018060419300000</v>
      </c>
      <c r="P8" t="str">
        <f>Data1!N6</f>
        <v>0229</v>
      </c>
      <c r="Q8" t="str">
        <f>Data1!O6</f>
        <v>0178</v>
      </c>
      <c r="R8" t="str">
        <f>Data1!P6</f>
        <v>000.00</v>
      </c>
      <c r="S8" t="str">
        <f>Data1!Q6</f>
        <v>000.00</v>
      </c>
      <c r="T8" t="str">
        <f>Data1!R6</f>
        <v>002.00</v>
      </c>
      <c r="U8" t="str">
        <f>Data1!S6</f>
        <v>002.00</v>
      </c>
      <c r="V8" t="str">
        <f>Data1!T6</f>
        <v>002.00</v>
      </c>
      <c r="W8" t="str">
        <f>Data1!U6</f>
        <v>03</v>
      </c>
    </row>
    <row r="9" spans="1:23" x14ac:dyDescent="0.25">
      <c r="A9" t="str">
        <f>Data1!A7</f>
        <v>D</v>
      </c>
      <c r="B9" t="str">
        <f>Data1!B7</f>
        <v>2</v>
      </c>
      <c r="D9" t="str">
        <f>Data1!C7</f>
        <v>0330</v>
      </c>
      <c r="E9" t="str">
        <f>Data1!D7</f>
        <v>000000104355</v>
      </c>
      <c r="F9" t="str">
        <f>Data1!E7</f>
        <v xml:space="preserve">18E </v>
      </c>
      <c r="G9" t="str">
        <f>Data1!F7</f>
        <v>18e</v>
      </c>
      <c r="H9" t="str">
        <f>Data1!G7</f>
        <v>2018060421000000</v>
      </c>
      <c r="I9" t="str">
        <f>Data1!H7</f>
        <v>1</v>
      </c>
      <c r="J9" t="str">
        <f>Data1!I7</f>
        <v>00847823</v>
      </c>
      <c r="K9" t="str">
        <f>Data1!J7</f>
        <v>00053585</v>
      </c>
      <c r="L9" t="str">
        <f>Data1!K7</f>
        <v xml:space="preserve">012 </v>
      </c>
      <c r="M9" t="str">
        <f>Data1!L7</f>
        <v>18E</v>
      </c>
      <c r="N9" t="str">
        <f>Data1!M7</f>
        <v>2018060420000000</v>
      </c>
      <c r="P9" t="str">
        <f>Data1!N7</f>
        <v>0229</v>
      </c>
      <c r="Q9" t="str">
        <f>Data1!O7</f>
        <v>0178</v>
      </c>
      <c r="R9" t="str">
        <f>Data1!P7</f>
        <v>000.00</v>
      </c>
      <c r="S9" t="str">
        <f>Data1!Q7</f>
        <v>000.00</v>
      </c>
      <c r="T9" t="str">
        <f>Data1!R7</f>
        <v>002.00</v>
      </c>
      <c r="U9" t="str">
        <f>Data1!S7</f>
        <v>002.00</v>
      </c>
      <c r="V9" t="str">
        <f>Data1!T7</f>
        <v>002.00</v>
      </c>
      <c r="W9" t="str">
        <f>Data1!U7</f>
        <v>03</v>
      </c>
    </row>
    <row r="10" spans="1:23" x14ac:dyDescent="0.25">
      <c r="A10" t="str">
        <f>Data1!A8</f>
        <v>D</v>
      </c>
      <c r="B10" t="str">
        <f>Data1!B8</f>
        <v>2</v>
      </c>
      <c r="D10" t="str">
        <f>Data1!C8</f>
        <v>0330</v>
      </c>
      <c r="E10" t="str">
        <f>Data1!D8</f>
        <v>000000104356</v>
      </c>
      <c r="F10" t="str">
        <f>Data1!E8</f>
        <v xml:space="preserve">18E </v>
      </c>
      <c r="G10" t="str">
        <f>Data1!F8</f>
        <v>18e</v>
      </c>
      <c r="H10" t="str">
        <f>Data1!G8</f>
        <v>2018060421300000</v>
      </c>
      <c r="I10" t="str">
        <f>Data1!H8</f>
        <v>1</v>
      </c>
      <c r="J10" t="str">
        <f>Data1!I8</f>
        <v>00847824</v>
      </c>
      <c r="K10" t="str">
        <f>Data1!J8</f>
        <v>00053586</v>
      </c>
      <c r="L10" t="str">
        <f>Data1!K8</f>
        <v xml:space="preserve">012 </v>
      </c>
      <c r="M10" t="str">
        <f>Data1!L8</f>
        <v>18E</v>
      </c>
      <c r="N10" t="str">
        <f>Data1!M8</f>
        <v>2018060420300000</v>
      </c>
      <c r="P10" t="str">
        <f>Data1!N8</f>
        <v>0229</v>
      </c>
      <c r="Q10" t="str">
        <f>Data1!O8</f>
        <v>0178</v>
      </c>
      <c r="R10" t="str">
        <f>Data1!P8</f>
        <v>000.00</v>
      </c>
      <c r="S10" t="str">
        <f>Data1!Q8</f>
        <v>000.00</v>
      </c>
      <c r="T10" t="str">
        <f>Data1!R8</f>
        <v>002.00</v>
      </c>
      <c r="U10" t="str">
        <f>Data1!S8</f>
        <v>002.00</v>
      </c>
      <c r="V10" t="str">
        <f>Data1!T8</f>
        <v>002.00</v>
      </c>
      <c r="W10" t="str">
        <f>Data1!U8</f>
        <v>03</v>
      </c>
    </row>
    <row r="11" spans="1:23" x14ac:dyDescent="0.25">
      <c r="A11" t="str">
        <f>Data1!A9</f>
        <v>D</v>
      </c>
      <c r="B11" t="str">
        <f>Data1!B9</f>
        <v>2</v>
      </c>
      <c r="D11" t="str">
        <f>Data1!C9</f>
        <v>0330</v>
      </c>
      <c r="E11" t="str">
        <f>Data1!D9</f>
        <v>000000104357</v>
      </c>
      <c r="F11" t="str">
        <f>Data1!E9</f>
        <v xml:space="preserve">18E </v>
      </c>
      <c r="G11" t="str">
        <f>Data1!F9</f>
        <v>18e</v>
      </c>
      <c r="H11" t="str">
        <f>Data1!G9</f>
        <v>2018060422000000</v>
      </c>
      <c r="I11" t="str">
        <f>Data1!H9</f>
        <v>1</v>
      </c>
      <c r="J11" t="str">
        <f>Data1!I9</f>
        <v>00847825</v>
      </c>
      <c r="K11" t="str">
        <f>Data1!J9</f>
        <v>00053587</v>
      </c>
      <c r="L11" t="str">
        <f>Data1!K9</f>
        <v xml:space="preserve">012 </v>
      </c>
      <c r="M11" t="str">
        <f>Data1!L9</f>
        <v>18E</v>
      </c>
      <c r="N11" t="str">
        <f>Data1!M9</f>
        <v>2018060421000000</v>
      </c>
      <c r="P11" t="str">
        <f>Data1!N9</f>
        <v>0229</v>
      </c>
      <c r="Q11" t="str">
        <f>Data1!O9</f>
        <v>0178</v>
      </c>
      <c r="R11" t="str">
        <f>Data1!P9</f>
        <v>000.00</v>
      </c>
      <c r="S11" t="str">
        <f>Data1!Q9</f>
        <v>000.00</v>
      </c>
      <c r="T11" t="str">
        <f>Data1!R9</f>
        <v>002.00</v>
      </c>
      <c r="U11" t="str">
        <f>Data1!S9</f>
        <v>002.00</v>
      </c>
      <c r="V11" t="str">
        <f>Data1!T9</f>
        <v>002.00</v>
      </c>
      <c r="W11" t="str">
        <f>Data1!U9</f>
        <v>03</v>
      </c>
    </row>
    <row r="12" spans="1:23" x14ac:dyDescent="0.25">
      <c r="A12" t="str">
        <f>Data1!A10</f>
        <v>D</v>
      </c>
      <c r="B12" t="str">
        <f>Data1!B10</f>
        <v>2</v>
      </c>
      <c r="D12" t="str">
        <f>Data1!C10</f>
        <v>0330</v>
      </c>
      <c r="E12" t="str">
        <f>Data1!D10</f>
        <v>000000104358</v>
      </c>
      <c r="F12" t="str">
        <f>Data1!E10</f>
        <v xml:space="preserve">18E </v>
      </c>
      <c r="G12" t="str">
        <f>Data1!F10</f>
        <v>18e</v>
      </c>
      <c r="H12" t="str">
        <f>Data1!G10</f>
        <v>2018060422300000</v>
      </c>
      <c r="I12" t="str">
        <f>Data1!H10</f>
        <v>1</v>
      </c>
      <c r="J12" t="str">
        <f>Data1!I10</f>
        <v>00847826</v>
      </c>
      <c r="K12" t="str">
        <f>Data1!J10</f>
        <v>00053588</v>
      </c>
      <c r="L12" t="str">
        <f>Data1!K10</f>
        <v xml:space="preserve">012 </v>
      </c>
      <c r="M12" t="str">
        <f>Data1!L10</f>
        <v>18E</v>
      </c>
      <c r="N12" t="str">
        <f>Data1!M10</f>
        <v>2018060421300000</v>
      </c>
      <c r="P12" t="str">
        <f>Data1!N10</f>
        <v>0229</v>
      </c>
      <c r="Q12" t="str">
        <f>Data1!O10</f>
        <v>0178</v>
      </c>
      <c r="R12" t="str">
        <f>Data1!P10</f>
        <v>000.00</v>
      </c>
      <c r="S12" t="str">
        <f>Data1!Q10</f>
        <v>000.00</v>
      </c>
      <c r="T12" t="str">
        <f>Data1!R10</f>
        <v>002.00</v>
      </c>
      <c r="U12" t="str">
        <f>Data1!S10</f>
        <v>002.00</v>
      </c>
      <c r="V12" t="str">
        <f>Data1!T10</f>
        <v>002.00</v>
      </c>
      <c r="W12" t="str">
        <f>Data1!U10</f>
        <v>03</v>
      </c>
    </row>
    <row r="13" spans="1:23" x14ac:dyDescent="0.25">
      <c r="A13" t="str">
        <f>Data1!A11</f>
        <v>D</v>
      </c>
      <c r="B13" t="str">
        <f>Data1!B11</f>
        <v>2</v>
      </c>
      <c r="D13" t="str">
        <f>Data1!C11</f>
        <v>0330</v>
      </c>
      <c r="E13" t="str">
        <f>Data1!D11</f>
        <v>000000104359</v>
      </c>
      <c r="F13" t="str">
        <f>Data1!E11</f>
        <v xml:space="preserve">18E </v>
      </c>
      <c r="G13" t="str">
        <f>Data1!F11</f>
        <v>18e</v>
      </c>
      <c r="H13" t="str">
        <f>Data1!G11</f>
        <v>2018060423000000</v>
      </c>
      <c r="I13" t="str">
        <f>Data1!H11</f>
        <v>1</v>
      </c>
      <c r="J13" t="str">
        <f>Data1!I11</f>
        <v>00847827</v>
      </c>
      <c r="K13" t="str">
        <f>Data1!J11</f>
        <v>00053589</v>
      </c>
      <c r="L13" t="str">
        <f>Data1!K11</f>
        <v xml:space="preserve">012 </v>
      </c>
      <c r="M13" t="str">
        <f>Data1!L11</f>
        <v>18E</v>
      </c>
      <c r="N13" t="str">
        <f>Data1!M11</f>
        <v>2018060422000000</v>
      </c>
      <c r="P13" t="str">
        <f>Data1!N11</f>
        <v>0229</v>
      </c>
      <c r="Q13" t="str">
        <f>Data1!O11</f>
        <v>0178</v>
      </c>
      <c r="R13" t="str">
        <f>Data1!P11</f>
        <v>000.00</v>
      </c>
      <c r="S13" t="str">
        <f>Data1!Q11</f>
        <v>000.00</v>
      </c>
      <c r="T13" t="str">
        <f>Data1!R11</f>
        <v>002.00</v>
      </c>
      <c r="U13" t="str">
        <f>Data1!S11</f>
        <v>002.00</v>
      </c>
      <c r="V13" t="str">
        <f>Data1!T11</f>
        <v>002.00</v>
      </c>
      <c r="W13" t="str">
        <f>Data1!U11</f>
        <v>03</v>
      </c>
    </row>
    <row r="14" spans="1:23" x14ac:dyDescent="0.25">
      <c r="A14" t="str">
        <f>Data1!A12</f>
        <v>D</v>
      </c>
      <c r="B14" t="str">
        <f>Data1!B12</f>
        <v>2</v>
      </c>
      <c r="D14" t="str">
        <f>Data1!C12</f>
        <v>0330</v>
      </c>
      <c r="E14" t="str">
        <f>Data1!D12</f>
        <v>000000104360</v>
      </c>
      <c r="F14" t="str">
        <f>Data1!E12</f>
        <v xml:space="preserve">18E </v>
      </c>
      <c r="G14" t="str">
        <f>Data1!F12</f>
        <v>18e</v>
      </c>
      <c r="H14" t="str">
        <f>Data1!G12</f>
        <v>2018060423300000</v>
      </c>
      <c r="I14" t="str">
        <f>Data1!H12</f>
        <v>1</v>
      </c>
      <c r="J14" t="str">
        <f>Data1!I12</f>
        <v>00847828</v>
      </c>
      <c r="K14" t="str">
        <f>Data1!J12</f>
        <v>00053590</v>
      </c>
      <c r="L14" t="str">
        <f>Data1!K12</f>
        <v xml:space="preserve">012 </v>
      </c>
      <c r="M14" t="str">
        <f>Data1!L12</f>
        <v>18E</v>
      </c>
      <c r="N14" t="str">
        <f>Data1!M12</f>
        <v>2018060422300000</v>
      </c>
      <c r="P14" t="str">
        <f>Data1!N12</f>
        <v>0229</v>
      </c>
      <c r="Q14" t="str">
        <f>Data1!O12</f>
        <v>0178</v>
      </c>
      <c r="R14" t="str">
        <f>Data1!P12</f>
        <v>000.00</v>
      </c>
      <c r="S14" t="str">
        <f>Data1!Q12</f>
        <v>000.00</v>
      </c>
      <c r="T14" t="str">
        <f>Data1!R12</f>
        <v>002.00</v>
      </c>
      <c r="U14" t="str">
        <f>Data1!S12</f>
        <v>002.00</v>
      </c>
      <c r="V14" t="str">
        <f>Data1!T12</f>
        <v>002.00</v>
      </c>
      <c r="W14" t="str">
        <f>Data1!U12</f>
        <v>03</v>
      </c>
    </row>
    <row r="15" spans="1:23" x14ac:dyDescent="0.25">
      <c r="A15" t="str">
        <f>Data1!A13</f>
        <v>D</v>
      </c>
      <c r="B15" t="str">
        <f>Data1!B13</f>
        <v>2</v>
      </c>
      <c r="D15" t="str">
        <f>Data1!C13</f>
        <v>0330</v>
      </c>
      <c r="E15" t="str">
        <f>Data1!D13</f>
        <v>000000104361</v>
      </c>
      <c r="F15" t="str">
        <f>Data1!E13</f>
        <v xml:space="preserve">18E </v>
      </c>
      <c r="G15" t="str">
        <f>Data1!F13</f>
        <v>18e</v>
      </c>
      <c r="H15" t="str">
        <f>Data1!G13</f>
        <v>2018060500000000</v>
      </c>
      <c r="I15" t="str">
        <f>Data1!H13</f>
        <v>1</v>
      </c>
      <c r="J15" t="str">
        <f>Data1!I13</f>
        <v>00847829</v>
      </c>
      <c r="K15" t="str">
        <f>Data1!J13</f>
        <v>00053591</v>
      </c>
      <c r="L15" t="str">
        <f>Data1!K13</f>
        <v xml:space="preserve">012 </v>
      </c>
      <c r="M15" t="str">
        <f>Data1!L13</f>
        <v>18E</v>
      </c>
      <c r="N15" t="str">
        <f>Data1!M13</f>
        <v>2018060423000000</v>
      </c>
      <c r="P15" t="str">
        <f>Data1!N13</f>
        <v>0229</v>
      </c>
      <c r="Q15" t="str">
        <f>Data1!O13</f>
        <v>0178</v>
      </c>
      <c r="R15" t="str">
        <f>Data1!P13</f>
        <v>000.00</v>
      </c>
      <c r="S15" t="str">
        <f>Data1!Q13</f>
        <v>000.00</v>
      </c>
      <c r="T15" t="str">
        <f>Data1!R13</f>
        <v>002.00</v>
      </c>
      <c r="U15" t="str">
        <f>Data1!S13</f>
        <v>002.00</v>
      </c>
      <c r="V15" t="str">
        <f>Data1!T13</f>
        <v>002.00</v>
      </c>
      <c r="W15" t="str">
        <f>Data1!U13</f>
        <v>03</v>
      </c>
    </row>
    <row r="16" spans="1:23" x14ac:dyDescent="0.25">
      <c r="A16" t="str">
        <f>Data1!A14</f>
        <v>D</v>
      </c>
      <c r="B16" t="str">
        <f>Data1!B14</f>
        <v>2</v>
      </c>
      <c r="D16" t="str">
        <f>Data1!C14</f>
        <v>0330</v>
      </c>
      <c r="E16" t="str">
        <f>Data1!D14</f>
        <v>000000104362</v>
      </c>
      <c r="F16" t="str">
        <f>Data1!E14</f>
        <v xml:space="preserve">18E </v>
      </c>
      <c r="G16" t="str">
        <f>Data1!F14</f>
        <v>18e</v>
      </c>
      <c r="H16" t="str">
        <f>Data1!G14</f>
        <v>2018060500300000</v>
      </c>
      <c r="I16" t="str">
        <f>Data1!H14</f>
        <v>1</v>
      </c>
      <c r="J16" t="str">
        <f>Data1!I14</f>
        <v>00847830</v>
      </c>
      <c r="K16" t="str">
        <f>Data1!J14</f>
        <v>00053592</v>
      </c>
      <c r="L16" t="str">
        <f>Data1!K14</f>
        <v xml:space="preserve">012 </v>
      </c>
      <c r="M16" t="str">
        <f>Data1!L14</f>
        <v>18E</v>
      </c>
      <c r="N16" t="str">
        <f>Data1!M14</f>
        <v>2018060423300000</v>
      </c>
      <c r="P16" t="str">
        <f>Data1!N14</f>
        <v>0229</v>
      </c>
      <c r="Q16" t="str">
        <f>Data1!O14</f>
        <v>0178</v>
      </c>
      <c r="R16" t="str">
        <f>Data1!P14</f>
        <v>000.00</v>
      </c>
      <c r="S16" t="str">
        <f>Data1!Q14</f>
        <v>000.00</v>
      </c>
      <c r="T16" t="str">
        <f>Data1!R14</f>
        <v>002.00</v>
      </c>
      <c r="U16" t="str">
        <f>Data1!S14</f>
        <v>002.00</v>
      </c>
      <c r="V16" t="str">
        <f>Data1!T14</f>
        <v>002.00</v>
      </c>
      <c r="W16" t="str">
        <f>Data1!U14</f>
        <v>03</v>
      </c>
    </row>
    <row r="17" spans="1:23" x14ac:dyDescent="0.25">
      <c r="A17" t="str">
        <f>Data1!A15</f>
        <v>D</v>
      </c>
      <c r="B17" t="str">
        <f>Data1!B15</f>
        <v>2</v>
      </c>
      <c r="D17" t="str">
        <f>Data1!C15</f>
        <v>0330</v>
      </c>
      <c r="E17" t="str">
        <f>Data1!D15</f>
        <v>000000104363</v>
      </c>
      <c r="F17" t="str">
        <f>Data1!E15</f>
        <v xml:space="preserve">18E </v>
      </c>
      <c r="G17" t="str">
        <f>Data1!F15</f>
        <v>18e</v>
      </c>
      <c r="H17" t="str">
        <f>Data1!G15</f>
        <v>2018060501000000</v>
      </c>
      <c r="I17" t="str">
        <f>Data1!H15</f>
        <v>1</v>
      </c>
      <c r="J17" t="str">
        <f>Data1!I15</f>
        <v>00847831</v>
      </c>
      <c r="K17" t="str">
        <f>Data1!J15</f>
        <v>00053593</v>
      </c>
      <c r="L17" t="str">
        <f>Data1!K15</f>
        <v xml:space="preserve">012 </v>
      </c>
      <c r="M17" t="str">
        <f>Data1!L15</f>
        <v>18E</v>
      </c>
      <c r="N17" t="str">
        <f>Data1!M15</f>
        <v>2018060500000000</v>
      </c>
      <c r="P17" t="str">
        <f>Data1!N15</f>
        <v>0229</v>
      </c>
      <c r="Q17" t="str">
        <f>Data1!O15</f>
        <v>0178</v>
      </c>
      <c r="R17" t="str">
        <f>Data1!P15</f>
        <v>000.00</v>
      </c>
      <c r="S17" t="str">
        <f>Data1!Q15</f>
        <v>000.00</v>
      </c>
      <c r="T17" t="str">
        <f>Data1!R15</f>
        <v>002.00</v>
      </c>
      <c r="U17" t="str">
        <f>Data1!S15</f>
        <v>002.00</v>
      </c>
      <c r="V17" t="str">
        <f>Data1!T15</f>
        <v>002.00</v>
      </c>
      <c r="W17" t="str">
        <f>Data1!U15</f>
        <v>03</v>
      </c>
    </row>
    <row r="18" spans="1:23" x14ac:dyDescent="0.25">
      <c r="A18" t="str">
        <f>Data1!A16</f>
        <v>D</v>
      </c>
      <c r="B18" t="str">
        <f>Data1!B16</f>
        <v>2</v>
      </c>
      <c r="D18" t="str">
        <f>Data1!C16</f>
        <v>0330</v>
      </c>
      <c r="E18" t="str">
        <f>Data1!D16</f>
        <v>000000104364</v>
      </c>
      <c r="F18" t="str">
        <f>Data1!E16</f>
        <v xml:space="preserve">18E </v>
      </c>
      <c r="G18" t="str">
        <f>Data1!F16</f>
        <v>18e</v>
      </c>
      <c r="H18" t="str">
        <f>Data1!G16</f>
        <v>2018060501300000</v>
      </c>
      <c r="I18" t="str">
        <f>Data1!H16</f>
        <v>1</v>
      </c>
      <c r="J18" t="str">
        <f>Data1!I16</f>
        <v>00847832</v>
      </c>
      <c r="K18" t="str">
        <f>Data1!J16</f>
        <v>00053594</v>
      </c>
      <c r="L18" t="str">
        <f>Data1!K16</f>
        <v xml:space="preserve">012 </v>
      </c>
      <c r="M18" t="str">
        <f>Data1!L16</f>
        <v>18E</v>
      </c>
      <c r="N18" t="str">
        <f>Data1!M16</f>
        <v>2018060500300000</v>
      </c>
      <c r="P18" t="str">
        <f>Data1!N16</f>
        <v>0229</v>
      </c>
      <c r="Q18" t="str">
        <f>Data1!O16</f>
        <v>0178</v>
      </c>
      <c r="R18" t="str">
        <f>Data1!P16</f>
        <v>000.00</v>
      </c>
      <c r="S18" t="str">
        <f>Data1!Q16</f>
        <v>000.00</v>
      </c>
      <c r="T18" t="str">
        <f>Data1!R16</f>
        <v>002.00</v>
      </c>
      <c r="U18" t="str">
        <f>Data1!S16</f>
        <v>002.00</v>
      </c>
      <c r="V18" t="str">
        <f>Data1!T16</f>
        <v>002.00</v>
      </c>
      <c r="W18" t="str">
        <f>Data1!U16</f>
        <v>03</v>
      </c>
    </row>
    <row r="19" spans="1:23" x14ac:dyDescent="0.25">
      <c r="A19" t="str">
        <f>Data1!A17</f>
        <v>D</v>
      </c>
      <c r="B19" t="str">
        <f>Data1!B17</f>
        <v>2</v>
      </c>
      <c r="D19" t="str">
        <f>Data1!C17</f>
        <v>0330</v>
      </c>
      <c r="E19" t="str">
        <f>Data1!D17</f>
        <v>000000104365</v>
      </c>
      <c r="F19" t="str">
        <f>Data1!E17</f>
        <v xml:space="preserve">18E </v>
      </c>
      <c r="G19" t="str">
        <f>Data1!F17</f>
        <v>18e</v>
      </c>
      <c r="H19" t="str">
        <f>Data1!G17</f>
        <v>2018060502000000</v>
      </c>
      <c r="I19" t="str">
        <f>Data1!H17</f>
        <v>1</v>
      </c>
      <c r="J19" t="str">
        <f>Data1!I17</f>
        <v>00847833</v>
      </c>
      <c r="K19" t="str">
        <f>Data1!J17</f>
        <v>00053595</v>
      </c>
      <c r="L19" t="str">
        <f>Data1!K17</f>
        <v xml:space="preserve">012 </v>
      </c>
      <c r="M19" t="str">
        <f>Data1!L17</f>
        <v>18E</v>
      </c>
      <c r="N19" t="str">
        <f>Data1!M17</f>
        <v>2018060501000000</v>
      </c>
      <c r="P19" t="str">
        <f>Data1!N17</f>
        <v>0229</v>
      </c>
      <c r="Q19" t="str">
        <f>Data1!O17</f>
        <v>0178</v>
      </c>
      <c r="R19" t="str">
        <f>Data1!P17</f>
        <v>000.00</v>
      </c>
      <c r="S19" t="str">
        <f>Data1!Q17</f>
        <v>000.00</v>
      </c>
      <c r="T19" t="str">
        <f>Data1!R17</f>
        <v>002.00</v>
      </c>
      <c r="U19" t="str">
        <f>Data1!S17</f>
        <v>002.00</v>
      </c>
      <c r="V19" t="str">
        <f>Data1!T17</f>
        <v>002.00</v>
      </c>
      <c r="W19" t="str">
        <f>Data1!U17</f>
        <v>03</v>
      </c>
    </row>
    <row r="20" spans="1:23" x14ac:dyDescent="0.25">
      <c r="A20" t="str">
        <f>Data1!A18</f>
        <v>D</v>
      </c>
      <c r="B20" t="str">
        <f>Data1!B18</f>
        <v>2</v>
      </c>
      <c r="D20" t="str">
        <f>Data1!C18</f>
        <v>0330</v>
      </c>
      <c r="E20" t="str">
        <f>Data1!D18</f>
        <v>000000104366</v>
      </c>
      <c r="F20" t="str">
        <f>Data1!E18</f>
        <v xml:space="preserve">18E </v>
      </c>
      <c r="G20" t="str">
        <f>Data1!F18</f>
        <v>18e</v>
      </c>
      <c r="H20" t="str">
        <f>Data1!G18</f>
        <v>2018060502300000</v>
      </c>
      <c r="I20" t="str">
        <f>Data1!H18</f>
        <v>1</v>
      </c>
      <c r="J20" t="str">
        <f>Data1!I18</f>
        <v>00847834</v>
      </c>
      <c r="K20" t="str">
        <f>Data1!J18</f>
        <v>00053596</v>
      </c>
      <c r="L20" t="str">
        <f>Data1!K18</f>
        <v xml:space="preserve">012 </v>
      </c>
      <c r="M20" t="str">
        <f>Data1!L18</f>
        <v>18E</v>
      </c>
      <c r="N20" t="str">
        <f>Data1!M18</f>
        <v>2018060501300000</v>
      </c>
      <c r="P20" t="str">
        <f>Data1!N18</f>
        <v>0229</v>
      </c>
      <c r="Q20" t="str">
        <f>Data1!O18</f>
        <v>0178</v>
      </c>
      <c r="R20" t="str">
        <f>Data1!P18</f>
        <v>000.00</v>
      </c>
      <c r="S20" t="str">
        <f>Data1!Q18</f>
        <v>000.00</v>
      </c>
      <c r="T20" t="str">
        <f>Data1!R18</f>
        <v>002.00</v>
      </c>
      <c r="U20" t="str">
        <f>Data1!S18</f>
        <v>002.00</v>
      </c>
      <c r="V20" t="str">
        <f>Data1!T18</f>
        <v>002.00</v>
      </c>
      <c r="W20" t="str">
        <f>Data1!U18</f>
        <v>03</v>
      </c>
    </row>
    <row r="21" spans="1:23" x14ac:dyDescent="0.25">
      <c r="A21" t="str">
        <f>Data1!A19</f>
        <v>D</v>
      </c>
      <c r="B21" t="str">
        <f>Data1!B19</f>
        <v>2</v>
      </c>
      <c r="D21" t="str">
        <f>Data1!C19</f>
        <v>0330</v>
      </c>
      <c r="E21" t="str">
        <f>Data1!D19</f>
        <v>000000104367</v>
      </c>
      <c r="F21" t="str">
        <f>Data1!E19</f>
        <v xml:space="preserve">18E </v>
      </c>
      <c r="G21" t="str">
        <f>Data1!F19</f>
        <v>18e</v>
      </c>
      <c r="H21" t="str">
        <f>Data1!G19</f>
        <v>2018060503000000</v>
      </c>
      <c r="I21" t="str">
        <f>Data1!H19</f>
        <v>1</v>
      </c>
      <c r="J21" t="str">
        <f>Data1!I19</f>
        <v>00847835</v>
      </c>
      <c r="K21" t="str">
        <f>Data1!J19</f>
        <v>00053597</v>
      </c>
      <c r="L21" t="str">
        <f>Data1!K19</f>
        <v xml:space="preserve">012 </v>
      </c>
      <c r="M21" t="str">
        <f>Data1!L19</f>
        <v>18E</v>
      </c>
      <c r="N21" t="str">
        <f>Data1!M19</f>
        <v>2018060502000000</v>
      </c>
      <c r="P21" t="str">
        <f>Data1!N19</f>
        <v>0229</v>
      </c>
      <c r="Q21" t="str">
        <f>Data1!O19</f>
        <v>0178</v>
      </c>
      <c r="R21" t="str">
        <f>Data1!P19</f>
        <v>000.00</v>
      </c>
      <c r="S21" t="str">
        <f>Data1!Q19</f>
        <v>000.00</v>
      </c>
      <c r="T21" t="str">
        <f>Data1!R19</f>
        <v>002.00</v>
      </c>
      <c r="U21" t="str">
        <f>Data1!S19</f>
        <v>002.00</v>
      </c>
      <c r="V21" t="str">
        <f>Data1!T19</f>
        <v>002.00</v>
      </c>
      <c r="W21" t="str">
        <f>Data1!U19</f>
        <v>03</v>
      </c>
    </row>
    <row r="22" spans="1:23" x14ac:dyDescent="0.25">
      <c r="A22" t="str">
        <f>Data1!A20</f>
        <v>D</v>
      </c>
      <c r="B22" t="str">
        <f>Data1!B20</f>
        <v>2</v>
      </c>
      <c r="D22" t="str">
        <f>Data1!C20</f>
        <v>0330</v>
      </c>
      <c r="E22" t="str">
        <f>Data1!D20</f>
        <v>000000104368</v>
      </c>
      <c r="F22" t="str">
        <f>Data1!E20</f>
        <v xml:space="preserve">18E </v>
      </c>
      <c r="G22" t="str">
        <f>Data1!F20</f>
        <v>18e</v>
      </c>
      <c r="H22" t="str">
        <f>Data1!G20</f>
        <v>2018060503300000</v>
      </c>
      <c r="I22" t="str">
        <f>Data1!H20</f>
        <v>1</v>
      </c>
      <c r="J22" t="str">
        <f>Data1!I20</f>
        <v>00847836</v>
      </c>
      <c r="K22" t="str">
        <f>Data1!J20</f>
        <v>00053598</v>
      </c>
      <c r="L22" t="str">
        <f>Data1!K20</f>
        <v xml:space="preserve">012 </v>
      </c>
      <c r="M22" t="str">
        <f>Data1!L20</f>
        <v>18E</v>
      </c>
      <c r="N22" t="str">
        <f>Data1!M20</f>
        <v>2018060502300000</v>
      </c>
      <c r="P22" t="str">
        <f>Data1!N20</f>
        <v>0229</v>
      </c>
      <c r="Q22" t="str">
        <f>Data1!O20</f>
        <v>0178</v>
      </c>
      <c r="R22" t="str">
        <f>Data1!P20</f>
        <v>000.00</v>
      </c>
      <c r="S22" t="str">
        <f>Data1!Q20</f>
        <v>000.00</v>
      </c>
      <c r="T22" t="str">
        <f>Data1!R20</f>
        <v>002.00</v>
      </c>
      <c r="U22" t="str">
        <f>Data1!S20</f>
        <v>002.00</v>
      </c>
      <c r="V22" t="str">
        <f>Data1!T20</f>
        <v>002.00</v>
      </c>
      <c r="W22" t="str">
        <f>Data1!U20</f>
        <v>03</v>
      </c>
    </row>
  </sheetData>
  <pageMargins bottom="0.75" footer="0.3" header="0.3" left="0.7" right="0.7" top="0.75"/>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J25"/>
  <sheetViews>
    <sheetView tabSelected="1" workbookViewId="0">
      <selection activeCell="B26" sqref="B26"/>
    </sheetView>
  </sheetViews>
  <sheetFormatPr defaultRowHeight="15" x14ac:dyDescent="0.25"/>
  <cols>
    <col min="1" max="1" bestFit="true" customWidth="true" style="49" width="13.85546875" collapsed="true"/>
    <col min="2" max="2" bestFit="true" customWidth="true" style="48" width="48.0" collapsed="true"/>
    <col min="3" max="3" style="49" width="9.140625" collapsed="true"/>
    <col min="4" max="4" bestFit="true" customWidth="true" style="49" width="12.85546875" collapsed="true"/>
    <col min="5" max="5" customWidth="true" style="49" width="29.5703125" collapsed="true"/>
    <col min="6" max="7" style="49" width="9.140625" collapsed="true"/>
    <col min="8" max="8" bestFit="true" customWidth="true" style="49" width="21.5703125" collapsed="true"/>
    <col min="9" max="16384" style="49" width="9.140625" collapsed="true"/>
  </cols>
  <sheetData>
    <row r="1" spans="1:9" x14ac:dyDescent="0.25">
      <c r="A1" s="47" t="s">
        <v>170</v>
      </c>
    </row>
    <row r="2" spans="1:9" x14ac:dyDescent="0.25">
      <c r="A2" s="50" t="s">
        <v>171</v>
      </c>
      <c r="B2" s="55" t="s">
        <v>51</v>
      </c>
      <c r="D2" s="50" t="s">
        <v>172</v>
      </c>
      <c r="E2" s="51" t="s">
        <v>40</v>
      </c>
    </row>
    <row r="3" spans="1:9" x14ac:dyDescent="0.25">
      <c r="A3" s="52" t="s">
        <v>173</v>
      </c>
      <c r="B3" t="s">
        <v>565</v>
      </c>
      <c r="D3" s="53" t="s">
        <v>174</v>
      </c>
      <c r="E3" s="54" t="s">
        <v>175</v>
      </c>
    </row>
    <row r="4" spans="1:9" x14ac:dyDescent="0.25">
      <c r="A4" s="52" t="s">
        <v>176</v>
      </c>
      <c r="B4" t="s">
        <v>128</v>
      </c>
    </row>
    <row r="5" spans="1:9" x14ac:dyDescent="0.25">
      <c r="A5" s="52" t="s">
        <v>177</v>
      </c>
      <c r="B5" t="s">
        <v>431</v>
      </c>
    </row>
    <row r="6" spans="1:9" x14ac:dyDescent="0.25">
      <c r="A6" s="52" t="s">
        <v>178</v>
      </c>
      <c r="B6" t="s">
        <v>596</v>
      </c>
    </row>
    <row r="7" spans="1:9" x14ac:dyDescent="0.25">
      <c r="A7" s="52" t="s">
        <v>179</v>
      </c>
      <c r="B7" t="s">
        <v>598</v>
      </c>
    </row>
    <row r="8" spans="1:9" x14ac:dyDescent="0.25">
      <c r="A8" s="52" t="s">
        <v>180</v>
      </c>
      <c r="B8" s="55" t="s">
        <v>86</v>
      </c>
    </row>
    <row r="9" spans="1:9" x14ac:dyDescent="0.25">
      <c r="A9" s="53" t="s">
        <v>181</v>
      </c>
      <c r="B9" s="1" t="s">
        <v>292</v>
      </c>
    </row>
    <row r="10" spans="1:9" x14ac:dyDescent="0.25">
      <c r="A10" s="50" t="s">
        <v>182</v>
      </c>
      <c r="B10" s="56" t="s">
        <v>419</v>
      </c>
    </row>
    <row r="11" spans="1:9" x14ac:dyDescent="0.25">
      <c r="A11" s="50" t="s">
        <v>183</v>
      </c>
      <c r="B11" s="55"/>
    </row>
    <row r="12" spans="1:9" x14ac:dyDescent="0.25">
      <c r="A12" s="50" t="s">
        <v>187</v>
      </c>
      <c r="B12" s="55" t="s">
        <v>191</v>
      </c>
    </row>
    <row r="13" spans="1:9" x14ac:dyDescent="0.25">
      <c r="E13" s="64" t="s">
        <v>184</v>
      </c>
      <c r="F13" s="65"/>
      <c r="G13" s="65"/>
      <c r="H13" s="65"/>
      <c r="I13" s="65"/>
    </row>
    <row r="14" spans="1:9" x14ac:dyDescent="0.25">
      <c r="A14" s="57" t="s">
        <v>188</v>
      </c>
      <c r="B14" s="1" t="s">
        <v>420</v>
      </c>
      <c r="E14" s="65"/>
      <c r="F14" s="65"/>
      <c r="G14" s="65"/>
      <c r="H14" s="65"/>
      <c r="I14" s="65"/>
    </row>
    <row r="15" spans="1:9" x14ac:dyDescent="0.25">
      <c r="E15" s="65"/>
      <c r="F15" s="65"/>
      <c r="G15" s="65"/>
      <c r="H15" s="65"/>
      <c r="I15" s="65"/>
    </row>
    <row r="16" spans="1:9" x14ac:dyDescent="0.25">
      <c r="E16" s="65"/>
      <c r="F16" s="65"/>
      <c r="G16" s="65"/>
      <c r="H16" s="65"/>
      <c r="I16" s="65"/>
    </row>
    <row r="17" spans="1:9" x14ac:dyDescent="0.25">
      <c r="E17" s="65"/>
      <c r="F17" s="65"/>
      <c r="G17" s="65"/>
      <c r="H17" s="65"/>
      <c r="I17" s="65"/>
    </row>
    <row r="18" spans="1:9" x14ac:dyDescent="0.25">
      <c r="E18" s="65"/>
      <c r="F18" s="65"/>
      <c r="G18" s="65"/>
      <c r="H18" s="65"/>
      <c r="I18" s="65"/>
    </row>
    <row r="20" spans="1:9" x14ac:dyDescent="0.25">
      <c r="A20" s="57" t="s">
        <v>186</v>
      </c>
      <c r="B20" t="s">
        <v>421</v>
      </c>
    </row>
    <row r="25" spans="1:9" x14ac:dyDescent="0.25">
      <c r="A25" s="57" t="s">
        <v>185</v>
      </c>
      <c r="B25" t="s">
        <v>597</v>
      </c>
    </row>
  </sheetData>
  <mergeCells count="1">
    <mergeCell ref="E13:I18"/>
  </mergeCells>
  <pageMargins bottom="0.75" footer="0.3" header="0.3" left="0.7" right="0.7" top="0.75"/>
</worksheet>
</file>

<file path=xl/worksheets/sheet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dimension ref="A1:J51"/>
  <sheetViews>
    <sheetView topLeftCell="A19" workbookViewId="0">
      <selection activeCell="H12" sqref="H12"/>
    </sheetView>
  </sheetViews>
  <sheetFormatPr defaultRowHeight="15" x14ac:dyDescent="0.25"/>
  <cols>
    <col min="1" max="1" bestFit="true" customWidth="true" style="59" width="13.140625" collapsed="true"/>
    <col min="2" max="2" bestFit="true" customWidth="true" style="59" width="12.0" collapsed="true"/>
    <col min="3" max="3" bestFit="true" customWidth="true" style="59" width="14.5703125" collapsed="true"/>
    <col min="4" max="4" customWidth="true" style="58" width="31.85546875" collapsed="true"/>
    <col min="5" max="6" style="58" width="9.140625" collapsed="true"/>
    <col min="7" max="7" bestFit="true" customWidth="true" style="58" width="18.0" collapsed="true"/>
    <col min="8" max="8" bestFit="true" customWidth="true" style="58" width="20.28515625" collapsed="true"/>
    <col min="9" max="16384" style="58" width="9.140625" collapsed="true"/>
  </cols>
  <sheetData>
    <row r="1" spans="1:9" x14ac:dyDescent="0.25">
      <c r="A1" s="60" t="s">
        <v>192</v>
      </c>
      <c r="B1" s="60" t="s">
        <v>193</v>
      </c>
      <c r="C1" s="60" t="s">
        <v>194</v>
      </c>
      <c r="G1" s="60" t="s">
        <v>195</v>
      </c>
      <c r="H1" s="60" t="s">
        <v>196</v>
      </c>
    </row>
    <row r="2" spans="1:9" x14ac:dyDescent="0.25">
      <c r="A2" t="s">
        <v>288</v>
      </c>
      <c r="B2" t="s">
        <v>197</v>
      </c>
      <c r="C2" t="s">
        <v>289</v>
      </c>
      <c r="G2" t="s">
        <v>129</v>
      </c>
      <c r="H2" t="s">
        <v>460</v>
      </c>
      <c r="I2" t="s">
        <v>424</v>
      </c>
    </row>
    <row r="3" spans="1:9" x14ac:dyDescent="0.25">
      <c r="A3" t="s">
        <v>290</v>
      </c>
      <c r="B3" t="s">
        <v>197</v>
      </c>
      <c r="C3" t="s">
        <v>289</v>
      </c>
    </row>
    <row r="4" spans="1:9" x14ac:dyDescent="0.25">
      <c r="A4" t="s">
        <v>291</v>
      </c>
      <c r="B4" t="s">
        <v>197</v>
      </c>
      <c r="C4" t="s">
        <v>274</v>
      </c>
    </row>
    <row r="5" spans="1:9" x14ac:dyDescent="0.25">
      <c r="A5" t="s">
        <v>275</v>
      </c>
      <c r="B5" t="s">
        <v>197</v>
      </c>
      <c r="C5" t="s">
        <v>274</v>
      </c>
    </row>
    <row r="6" spans="1:9" x14ac:dyDescent="0.25">
      <c r="A6" t="s">
        <v>276</v>
      </c>
      <c r="B6" t="s">
        <v>197</v>
      </c>
      <c r="C6" t="s">
        <v>274</v>
      </c>
    </row>
    <row r="7" spans="1:9" x14ac:dyDescent="0.25">
      <c r="A7" t="s">
        <v>277</v>
      </c>
      <c r="B7" t="s">
        <v>197</v>
      </c>
      <c r="C7" t="s">
        <v>274</v>
      </c>
    </row>
    <row r="8" spans="1:9" x14ac:dyDescent="0.25">
      <c r="A8" t="s">
        <v>278</v>
      </c>
      <c r="B8" t="s">
        <v>197</v>
      </c>
      <c r="C8" t="s">
        <v>274</v>
      </c>
    </row>
    <row r="9" spans="1:9" x14ac:dyDescent="0.25">
      <c r="A9" t="s">
        <v>279</v>
      </c>
      <c r="B9" t="s">
        <v>197</v>
      </c>
      <c r="C9" t="s">
        <v>274</v>
      </c>
    </row>
    <row r="10" spans="1:9" x14ac:dyDescent="0.25">
      <c r="A10" t="s">
        <v>280</v>
      </c>
      <c r="B10" t="s">
        <v>197</v>
      </c>
      <c r="C10" t="s">
        <v>274</v>
      </c>
    </row>
    <row r="11" spans="1:9" x14ac:dyDescent="0.25">
      <c r="A11" t="s">
        <v>281</v>
      </c>
      <c r="B11" t="s">
        <v>197</v>
      </c>
      <c r="C11" t="s">
        <v>274</v>
      </c>
    </row>
    <row r="12" spans="1:9" x14ac:dyDescent="0.25">
      <c r="A12" t="s">
        <v>205</v>
      </c>
      <c r="B12" t="s">
        <v>197</v>
      </c>
      <c r="C12" t="s">
        <v>206</v>
      </c>
    </row>
    <row r="13" spans="1:9" x14ac:dyDescent="0.25">
      <c r="A13" t="s">
        <v>207</v>
      </c>
      <c r="B13" t="s">
        <v>197</v>
      </c>
      <c r="C13" t="s">
        <v>206</v>
      </c>
    </row>
    <row r="14" spans="1:9" x14ac:dyDescent="0.25">
      <c r="A14" t="s">
        <v>208</v>
      </c>
      <c r="B14" t="s">
        <v>197</v>
      </c>
      <c r="C14" t="s">
        <v>206</v>
      </c>
    </row>
    <row r="15" spans="1:9" x14ac:dyDescent="0.25">
      <c r="A15" t="s">
        <v>209</v>
      </c>
      <c r="B15" t="s">
        <v>197</v>
      </c>
      <c r="C15" t="s">
        <v>206</v>
      </c>
    </row>
    <row r="16" spans="1:9" x14ac:dyDescent="0.25">
      <c r="A16" t="s">
        <v>210</v>
      </c>
      <c r="B16" t="s">
        <v>197</v>
      </c>
      <c r="C16" t="s">
        <v>206</v>
      </c>
    </row>
    <row r="17" spans="1:3" x14ac:dyDescent="0.25">
      <c r="A17" t="s">
        <v>211</v>
      </c>
      <c r="B17" t="s">
        <v>197</v>
      </c>
      <c r="C17" t="s">
        <v>212</v>
      </c>
    </row>
    <row r="18" spans="1:3" x14ac:dyDescent="0.25">
      <c r="A18" t="s">
        <v>213</v>
      </c>
      <c r="B18" t="s">
        <v>197</v>
      </c>
      <c r="C18" t="s">
        <v>212</v>
      </c>
    </row>
    <row r="19" spans="1:3" x14ac:dyDescent="0.25">
      <c r="A19" t="s">
        <v>214</v>
      </c>
      <c r="B19" t="s">
        <v>197</v>
      </c>
      <c r="C19" t="s">
        <v>212</v>
      </c>
    </row>
    <row r="20" spans="1:3" x14ac:dyDescent="0.25">
      <c r="A20" t="s">
        <v>215</v>
      </c>
      <c r="B20" t="s">
        <v>197</v>
      </c>
      <c r="C20" t="s">
        <v>212</v>
      </c>
    </row>
    <row r="21" spans="1:3" x14ac:dyDescent="0.25">
      <c r="A21" t="s">
        <v>216</v>
      </c>
      <c r="B21" t="s">
        <v>197</v>
      </c>
      <c r="C21" t="s">
        <v>212</v>
      </c>
    </row>
    <row r="22" spans="1:3" x14ac:dyDescent="0.25">
      <c r="A22" t="s">
        <v>217</v>
      </c>
      <c r="B22" t="s">
        <v>197</v>
      </c>
      <c r="C22" t="s">
        <v>218</v>
      </c>
    </row>
    <row r="23" spans="1:3" x14ac:dyDescent="0.25">
      <c r="A23" t="s">
        <v>219</v>
      </c>
      <c r="B23" t="s">
        <v>197</v>
      </c>
      <c r="C23" t="s">
        <v>218</v>
      </c>
    </row>
    <row r="24" spans="1:3" x14ac:dyDescent="0.25">
      <c r="A24" t="s">
        <v>220</v>
      </c>
      <c r="B24" t="s">
        <v>197</v>
      </c>
      <c r="C24" t="s">
        <v>218</v>
      </c>
    </row>
    <row r="25" spans="1:3" x14ac:dyDescent="0.25">
      <c r="A25" t="s">
        <v>221</v>
      </c>
      <c r="B25" t="s">
        <v>197</v>
      </c>
      <c r="C25" t="s">
        <v>218</v>
      </c>
    </row>
    <row r="26" spans="1:3" x14ac:dyDescent="0.25">
      <c r="A26" t="s">
        <v>222</v>
      </c>
      <c r="B26" t="s">
        <v>197</v>
      </c>
      <c r="C26" t="s">
        <v>218</v>
      </c>
    </row>
    <row r="27" spans="1:3" x14ac:dyDescent="0.25">
      <c r="A27" t="s">
        <v>223</v>
      </c>
      <c r="B27" t="s">
        <v>197</v>
      </c>
      <c r="C27" t="s">
        <v>224</v>
      </c>
    </row>
    <row r="28" spans="1:3" x14ac:dyDescent="0.25">
      <c r="A28" t="s">
        <v>225</v>
      </c>
      <c r="B28" t="s">
        <v>197</v>
      </c>
      <c r="C28" t="s">
        <v>224</v>
      </c>
    </row>
    <row r="29" spans="1:3" x14ac:dyDescent="0.25">
      <c r="A29" t="s">
        <v>226</v>
      </c>
      <c r="B29" t="s">
        <v>197</v>
      </c>
      <c r="C29" t="s">
        <v>224</v>
      </c>
    </row>
    <row r="30" spans="1:3" x14ac:dyDescent="0.25">
      <c r="A30" t="s">
        <v>227</v>
      </c>
      <c r="B30" t="s">
        <v>197</v>
      </c>
      <c r="C30" t="s">
        <v>224</v>
      </c>
    </row>
    <row r="31" spans="1:3" x14ac:dyDescent="0.25">
      <c r="A31" t="s">
        <v>228</v>
      </c>
      <c r="B31" t="s">
        <v>197</v>
      </c>
      <c r="C31" t="s">
        <v>224</v>
      </c>
    </row>
    <row r="32" spans="1:3" x14ac:dyDescent="0.25">
      <c r="A32" t="s">
        <v>229</v>
      </c>
      <c r="B32" t="s">
        <v>197</v>
      </c>
      <c r="C32" t="s">
        <v>230</v>
      </c>
    </row>
    <row r="33" spans="1:3" x14ac:dyDescent="0.25">
      <c r="A33" t="s">
        <v>231</v>
      </c>
      <c r="B33" t="s">
        <v>197</v>
      </c>
      <c r="C33" t="s">
        <v>230</v>
      </c>
    </row>
    <row r="34" spans="1:3" x14ac:dyDescent="0.25">
      <c r="A34" t="s">
        <v>232</v>
      </c>
      <c r="B34" t="s">
        <v>197</v>
      </c>
      <c r="C34" t="s">
        <v>230</v>
      </c>
    </row>
    <row r="35" spans="1:3" x14ac:dyDescent="0.25">
      <c r="A35" t="s">
        <v>233</v>
      </c>
      <c r="B35" t="s">
        <v>197</v>
      </c>
      <c r="C35" t="s">
        <v>230</v>
      </c>
    </row>
    <row r="36" spans="1:3" x14ac:dyDescent="0.25">
      <c r="A36" t="s">
        <v>234</v>
      </c>
      <c r="B36" t="s">
        <v>197</v>
      </c>
      <c r="C36" t="s">
        <v>230</v>
      </c>
    </row>
    <row r="37" spans="1:3" x14ac:dyDescent="0.25">
      <c r="A37" t="s">
        <v>235</v>
      </c>
      <c r="B37" t="s">
        <v>197</v>
      </c>
      <c r="C37" t="s">
        <v>236</v>
      </c>
    </row>
    <row r="38" spans="1:3" x14ac:dyDescent="0.25">
      <c r="A38" t="s">
        <v>237</v>
      </c>
      <c r="B38" t="s">
        <v>197</v>
      </c>
      <c r="C38" t="s">
        <v>236</v>
      </c>
    </row>
    <row r="39" spans="1:3" x14ac:dyDescent="0.25">
      <c r="A39" t="s">
        <v>238</v>
      </c>
      <c r="B39" t="s">
        <v>197</v>
      </c>
      <c r="C39" t="s">
        <v>236</v>
      </c>
    </row>
    <row r="40" spans="1:3" x14ac:dyDescent="0.25">
      <c r="A40" t="s">
        <v>239</v>
      </c>
      <c r="B40" t="s">
        <v>197</v>
      </c>
      <c r="C40" t="s">
        <v>236</v>
      </c>
    </row>
    <row r="41" spans="1:3" x14ac:dyDescent="0.25">
      <c r="A41" t="s">
        <v>240</v>
      </c>
      <c r="B41" t="s">
        <v>197</v>
      </c>
      <c r="C41" t="s">
        <v>236</v>
      </c>
    </row>
    <row r="42" spans="1:3" x14ac:dyDescent="0.25">
      <c r="A42" t="s">
        <v>241</v>
      </c>
      <c r="B42" t="s">
        <v>197</v>
      </c>
      <c r="C42" t="s">
        <v>242</v>
      </c>
    </row>
    <row r="43" spans="1:3" x14ac:dyDescent="0.25">
      <c r="A43" t="s">
        <v>243</v>
      </c>
      <c r="B43" t="s">
        <v>197</v>
      </c>
      <c r="C43" t="s">
        <v>242</v>
      </c>
    </row>
    <row r="44" spans="1:3" x14ac:dyDescent="0.25">
      <c r="A44" t="s">
        <v>244</v>
      </c>
      <c r="B44" t="s">
        <v>197</v>
      </c>
      <c r="C44" t="s">
        <v>242</v>
      </c>
    </row>
    <row r="45" spans="1:3" x14ac:dyDescent="0.25">
      <c r="A45" t="s">
        <v>245</v>
      </c>
      <c r="B45" t="s">
        <v>197</v>
      </c>
      <c r="C45" t="s">
        <v>242</v>
      </c>
    </row>
    <row r="46" spans="1:3" x14ac:dyDescent="0.25">
      <c r="A46" t="s">
        <v>246</v>
      </c>
      <c r="B46" t="s">
        <v>197</v>
      </c>
      <c r="C46" t="s">
        <v>242</v>
      </c>
    </row>
    <row r="47" spans="1:3" x14ac:dyDescent="0.25">
      <c r="A47" t="s">
        <v>247</v>
      </c>
      <c r="B47" t="s">
        <v>197</v>
      </c>
      <c r="C47" t="s">
        <v>248</v>
      </c>
    </row>
    <row r="48" spans="1:3" x14ac:dyDescent="0.25">
      <c r="A48" t="s">
        <v>249</v>
      </c>
      <c r="B48" t="s">
        <v>197</v>
      </c>
      <c r="C48" t="s">
        <v>248</v>
      </c>
    </row>
    <row r="49" spans="1:3" x14ac:dyDescent="0.25">
      <c r="A49" t="s">
        <v>250</v>
      </c>
      <c r="B49" t="s">
        <v>197</v>
      </c>
      <c r="C49" t="s">
        <v>248</v>
      </c>
    </row>
    <row r="50" spans="1:3" x14ac:dyDescent="0.25">
      <c r="A50" t="s">
        <v>251</v>
      </c>
      <c r="B50" t="s">
        <v>197</v>
      </c>
      <c r="C50" t="s">
        <v>248</v>
      </c>
    </row>
    <row r="51" spans="1:3" x14ac:dyDescent="0.25">
      <c r="A51" t="s">
        <v>252</v>
      </c>
      <c r="B51" t="s">
        <v>197</v>
      </c>
      <c r="C51" t="s">
        <v>248</v>
      </c>
    </row>
  </sheetData>
  <pageMargins bottom="0.75" footer="0.3" header="0.3" left="0.7" right="0.7" top="0.7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9</vt:i4>
      </vt:variant>
      <vt:variant>
        <vt:lpstr>Named Ranges</vt:lpstr>
      </vt:variant>
      <vt:variant>
        <vt:i4>1</vt:i4>
      </vt:variant>
    </vt:vector>
  </HeadingPairs>
  <TitlesOfParts>
    <vt:vector baseType="lpstr" size="10">
      <vt:lpstr>Revision</vt:lpstr>
      <vt:lpstr>Help</vt:lpstr>
      <vt:lpstr>Inputs</vt:lpstr>
      <vt:lpstr>Data1</vt:lpstr>
      <vt:lpstr>Data2</vt:lpstr>
      <vt:lpstr>Temp</vt:lpstr>
      <vt:lpstr>Correction</vt:lpstr>
      <vt:lpstr>Data3</vt:lpstr>
      <vt:lpstr>PlateDetails</vt:lpstr>
      <vt:lpstr>Number_of_Fields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2012-08-21T09:17:55Z</dcterms:created>
  <dc:creator>30111292</dc:creator>
  <cp:lastModifiedBy>Sandeep S. Kudva</cp:lastModifiedBy>
  <dcterms:modified xsi:type="dcterms:W3CDTF">2019-01-04T07:09:48Z</dcterms:modified>
</cp:coreProperties>
</file>