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450" windowWidth="18720" windowHeight="7335" activeTab="2"/>
  </bookViews>
  <sheets>
    <sheet name="Revision" sheetId="10" r:id="rId1"/>
    <sheet name="Help" sheetId="3" r:id="rId2"/>
    <sheet name="Inputs" sheetId="2" r:id="rId3"/>
    <sheet name="Data1" sheetId="6" r:id="rId4"/>
    <sheet name="Data2" sheetId="7" r:id="rId5"/>
    <sheet name="Temp" sheetId="8" r:id="rId6"/>
    <sheet name="Correction" sheetId="9" r:id="rId7"/>
    <sheet name="Sheet1" sheetId="11" r:id="rId8"/>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Q1" authorId="0">
      <text>
        <r>
          <rPr>
            <b/>
            <sz val="9"/>
            <color indexed="81"/>
            <rFont val="Tahoma"/>
            <family val="2"/>
          </rPr>
          <t>Sivakumar Narayanappa:</t>
        </r>
        <r>
          <rPr>
            <sz val="9"/>
            <color indexed="81"/>
            <rFont val="Tahoma"/>
            <family val="2"/>
          </rPr>
          <t xml:space="preserve">
Column where inputs for date calculation had been given</t>
        </r>
      </text>
    </comment>
    <comment ref="W1" authorId="0">
      <text>
        <r>
          <rPr>
            <b/>
            <sz val="9"/>
            <color indexed="81"/>
            <rFont val="Tahoma"/>
            <family val="2"/>
          </rPr>
          <t>Sivakumar Narayanappa:</t>
        </r>
        <r>
          <rPr>
            <sz val="9"/>
            <color indexed="81"/>
            <rFont val="Tahoma"/>
            <family val="2"/>
          </rPr>
          <t xml:space="preserve">
Value of field 15 will be used</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<sst xmlns="http://schemas.openxmlformats.org/spreadsheetml/2006/main" count="729" uniqueCount="180">
  <si>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</si>
  <si>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</si>
  <si>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</si>
  <si>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</si>
  <si>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</si>
  <si>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</si>
  <si>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</si>
  <si>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</si>
  <si>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</si>
  <si>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</si>
  <si>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</si>
  <si>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</si>
  <si>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</si>
  <si>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</si>
  <si>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</si>
  <si>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</si>
  <si>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</si>
  <si>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</si>
  <si>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</si>
  <si>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</si>
  <si>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</si>
  <si>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</si>
  <si>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</si>
  <si>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</si>
  <si>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</si>
  <si>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</si>
  <si>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</si>
  <si>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</si>
  <si>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</si>
  <si>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</si>
  <si>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</si>
  <si>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</si>
  <si>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</si>
  <si>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</si>
  <si>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</si>
  <si>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</si>
  <si>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</si>
  <si>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</si>
  <si>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</si>
  <si>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</si>
  <si>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</si>
  <si>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</si>
  <si>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</si>
  <si>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</si>
  <si>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</si>
  <si>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</si>
  <si>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</si>
  <si>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</si>
  <si>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</si>
  <si>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</si>
  <si>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</si>
  <si>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</si>
  <si>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</si>
  <si>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</si>
  <si>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</si>
  <si>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</si>
  <si>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</si>
  <si>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</si>
  <si>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</si>
  <si>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</si>
  <si>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</si>
  <si>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</si>
  <si>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</si>
  <si>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</si>
  <si>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</si>
  <si>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</si>
  <si>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</si>
  <si>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</si>
  <si>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</si>
  <si>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</si>
  <si>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</si>
  <si>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</si>
  <si>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</si>
  <si>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</si>
  <si>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</si>
  <si>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</si>
  <si>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</si>
  <si>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</si>
  <si>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</si>
  <si>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</si>
  <si>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</si>
  <si>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</si>
  <si>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</si>
  <si>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</si>
  <si>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</si>
  <si>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</si>
  <si>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ETC_Unique_Tx_Number</t>
  </si>
  <si>
    <t>ETCFacility agency</t>
  </si>
  <si>
    <t>003</t>
  </si>
  <si>
    <t>1076</t>
  </si>
  <si>
    <t>1077</t>
  </si>
  <si>
    <t>001</t>
  </si>
  <si>
    <t>002</t>
  </si>
  <si>
    <t>004</t>
  </si>
  <si>
    <t>Exit plaza id</t>
  </si>
  <si>
    <t>ENTRY_PLAZA_ID</t>
  </si>
  <si>
    <t>1080</t>
  </si>
  <si>
    <t>Entry Lane id</t>
  </si>
  <si>
    <t>Exit Lane id</t>
  </si>
  <si>
    <t>Trxn Type</t>
  </si>
  <si>
    <t>Entry Message Time</t>
  </si>
  <si>
    <t>YYYYMMDDHHMMSS</t>
  </si>
  <si>
    <t>07000000</t>
  </si>
  <si>
    <t>Exit Message Time</t>
  </si>
  <si>
    <t>00450</t>
  </si>
  <si>
    <t>Tag #</t>
  </si>
  <si>
    <t>08000000</t>
  </si>
  <si>
    <t>000000005679</t>
  </si>
  <si>
    <t>000000005680</t>
  </si>
  <si>
    <t>000000005681</t>
  </si>
  <si>
    <t>000000005682</t>
  </si>
  <si>
    <t>000000005683</t>
  </si>
  <si>
    <t>000000005684</t>
  </si>
  <si>
    <t>09000000</t>
  </si>
  <si>
    <t>Exit_dst_flag</t>
  </si>
  <si>
    <t>Toll_rate_id</t>
  </si>
  <si>
    <t>0178</t>
  </si>
  <si>
    <t>0177</t>
  </si>
  <si>
    <t>Toll_timetable_id</t>
  </si>
  <si>
    <t>0229</t>
  </si>
  <si>
    <t>Toll_Expected</t>
  </si>
  <si>
    <t>AVC_class</t>
  </si>
  <si>
    <t>05</t>
  </si>
  <si>
    <t>IAG_raw_class</t>
  </si>
  <si>
    <t>0727</t>
  </si>
  <si>
    <t>IAG_mapped_class</t>
  </si>
  <si>
    <t>Registered_class</t>
  </si>
  <si>
    <t>00</t>
  </si>
  <si>
    <t>Fare_class</t>
  </si>
  <si>
    <t>AVC_Axles</t>
  </si>
  <si>
    <t>IAG_mapped_axles</t>
  </si>
  <si>
    <t>Registered_axles</t>
  </si>
  <si>
    <t>Fare_Axles</t>
  </si>
  <si>
    <t>Entry_Vehicle_speed</t>
  </si>
  <si>
    <t>Exit_Vehicle_speed</t>
  </si>
  <si>
    <t>Transponder_prog_status</t>
  </si>
  <si>
    <t>007</t>
  </si>
  <si>
    <t>059</t>
  </si>
  <si>
    <t>022</t>
  </si>
  <si>
    <t>000</t>
  </si>
  <si>
    <t>024</t>
  </si>
  <si>
    <t>020</t>
  </si>
  <si>
    <t>019</t>
  </si>
  <si>
    <t>Transponder_status</t>
  </si>
  <si>
    <t>Transponder_type</t>
  </si>
  <si>
    <t>Is_tag-buffered</t>
  </si>
  <si>
    <t>Transponder_read_performance</t>
  </si>
  <si>
    <t>Transponder_write_performance</t>
  </si>
  <si>
    <t>Revenue_date</t>
  </si>
  <si>
    <t>Message_seq_num</t>
  </si>
  <si>
    <t>Fare_type</t>
  </si>
  <si>
    <t>Separator</t>
  </si>
  <si>
    <t>1</t>
  </si>
  <si>
    <t>0</t>
  </si>
  <si>
    <t>12</t>
  </si>
  <si>
    <t>19</t>
  </si>
  <si>
    <t>20150704</t>
  </si>
  <si>
    <t>550750</t>
  </si>
  <si>
    <t>03</t>
  </si>
  <si>
    <t>68</t>
  </si>
  <si>
    <t>995898</t>
  </si>
  <si>
    <t>04</t>
  </si>
  <si>
    <t>99</t>
  </si>
  <si>
    <t>20150422</t>
  </si>
  <si>
    <t>572742</t>
  </si>
  <si>
    <t>46</t>
  </si>
  <si>
    <t>288984</t>
  </si>
  <si>
    <t>65</t>
  </si>
  <si>
    <t>20150520</t>
  </si>
  <si>
    <t>322905</t>
  </si>
  <si>
    <t>AU</t>
  </si>
  <si>
    <t>AY</t>
  </si>
  <si>
    <t>14</t>
  </si>
  <si>
    <t>20160328070000</t>
  </si>
  <si>
    <t>20160328080000</t>
  </si>
  <si>
    <t>20160328090000</t>
  </si>
  <si>
    <t>6</t>
  </si>
  <si>
    <t>2700</t>
  </si>
  <si>
    <t>02205350408</t>
  </si>
  <si>
    <t>02213221434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</si>
</sst>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7" x14ac:knownFonts="1">
    <font>
      <sz val="11"/>
      <color theme="1"/>
      <name val="Calibri"/>
      <family val="2"/>
      <scheme val="minor"/>
    </font>
    <font>
      <sz val="11"/>
      <color rgb="FF000000"/>
      <name val="Calibri"/>
      <family val="2"/>
    </font>
    <font>
      <sz val="11"/>
      <name val="Calibri"/>
      <family val="2"/>
      <scheme val="minor"/>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s>
  <fills count="7">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bottom/>
      <diagonal/>
    </border>
  </borders>
  <cellStyleXfs count="1">
    <xf numFmtId="0" fontId="0" fillId="0" borderId="0"/>
  </cellStyleXfs>
  <cellXfs count="50">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applyFill="1" applyBorder="1" applyAlignment="1">
      <alignment horizontal="center"/>
    </xf>
    <xf numFmtId="0" fontId="0" fillId="4" borderId="1" xfId="0" quotePrefix="1" applyFill="1" applyBorder="1" applyAlignment="1">
      <alignment horizontal="center"/>
    </xf>
    <xf numFmtId="0" fontId="2" fillId="4" borderId="1" xfId="0" quotePrefix="1" applyFont="1" applyFill="1" applyBorder="1" applyAlignment="1">
      <alignment horizontal="center"/>
    </xf>
    <xf numFmtId="0" fontId="0" fillId="4" borderId="0" xfId="0" applyFill="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5"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6" fillId="0" borderId="1" xfId="0" applyFont="1" applyBorder="1"/>
    <xf numFmtId="0" fontId="6"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0" fontId="2" fillId="4" borderId="6" xfId="0" quotePrefix="1" applyFont="1" applyFill="1" applyBorder="1" applyAlignment="1">
      <alignment horizontal="center"/>
    </xf>
    <xf numFmtId="14" fontId="0" fillId="0" borderId="0" xfId="0" quotePrefix="1" applyNumberFormat="1"/>
    <xf numFmtId="2" fontId="0" fillId="0" borderId="0" xfId="0" quotePrefix="1" applyNumberFormat="1"/>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4" t="s">
        <v>66</v>
      </c>
      <c r="B2" s="35" t="s">
        <v>67</v>
      </c>
      <c r="C2" s="34" t="s">
        <v>68</v>
      </c>
      <c r="D2" s="34" t="s">
        <v>69</v>
      </c>
    </row>
    <row r="3" spans="1:4" x14ac:dyDescent="0.25">
      <c r="A3" s="27" t="s">
        <v>70</v>
      </c>
      <c r="B3" s="38">
        <v>41686</v>
      </c>
      <c r="C3" s="37" t="s">
        <v>71</v>
      </c>
      <c r="D3" s="37" t="s">
        <v>72</v>
      </c>
    </row>
    <row r="4" spans="1:4" x14ac:dyDescent="0.25">
      <c r="A4" s="27" t="s">
        <v>73</v>
      </c>
      <c r="B4" s="38">
        <v>41785</v>
      </c>
      <c r="C4" s="37" t="s">
        <v>71</v>
      </c>
      <c r="D4" s="37" t="s">
        <v>74</v>
      </c>
    </row>
    <row r="5" spans="1:4" x14ac:dyDescent="0.25">
      <c r="A5" s="27" t="s">
        <v>81</v>
      </c>
      <c r="B5" s="38">
        <v>41787</v>
      </c>
      <c r="C5" s="37" t="s">
        <v>71</v>
      </c>
      <c r="D5" s="37" t="s">
        <v>82</v>
      </c>
    </row>
    <row r="6" spans="1:4" x14ac:dyDescent="0.25">
      <c r="A6" s="27" t="s">
        <v>83</v>
      </c>
      <c r="B6" s="38">
        <v>41794</v>
      </c>
      <c r="C6" s="37" t="s">
        <v>71</v>
      </c>
      <c r="D6" s="37" t="s">
        <v>84</v>
      </c>
    </row>
    <row r="7" spans="1:4" x14ac:dyDescent="0.25">
      <c r="A7" s="37"/>
      <c r="B7" s="36"/>
      <c r="C7" s="37"/>
      <c r="D7" s="37"/>
    </row>
    <row r="8" spans="1:4" x14ac:dyDescent="0.25">
      <c r="A8" s="37"/>
      <c r="B8" s="36"/>
      <c r="C8" s="37"/>
      <c r="D8" s="37"/>
    </row>
    <row r="9" spans="1:4" x14ac:dyDescent="0.25">
      <c r="A9" s="37"/>
      <c r="B9" s="36"/>
      <c r="C9" s="37"/>
      <c r="D9" s="37"/>
    </row>
    <row r="10" spans="1:4" x14ac:dyDescent="0.25">
      <c r="A10" s="37"/>
      <c r="B10" s="36"/>
      <c r="C10" s="37"/>
      <c r="D10" s="37"/>
    </row>
    <row r="11" spans="1:4" x14ac:dyDescent="0.25">
      <c r="A11" s="37"/>
      <c r="B11" s="36"/>
      <c r="C11" s="37"/>
      <c r="D11" s="37"/>
    </row>
    <row r="12" spans="1:4" x14ac:dyDescent="0.25">
      <c r="A12" s="37"/>
      <c r="B12" s="36"/>
      <c r="C12" s="37"/>
      <c r="D12" s="37"/>
    </row>
    <row r="13" spans="1:4" x14ac:dyDescent="0.25">
      <c r="A13" s="37"/>
      <c r="B13" s="36"/>
      <c r="C13" s="37"/>
      <c r="D13" s="37"/>
    </row>
    <row r="14" spans="1:4" x14ac:dyDescent="0.25">
      <c r="A14" s="37"/>
      <c r="B14" s="36"/>
      <c r="C14" s="37"/>
      <c r="D14" s="37"/>
    </row>
    <row r="15" spans="1:4" x14ac:dyDescent="0.25">
      <c r="A15" s="37"/>
      <c r="B15" s="36"/>
      <c r="C15" s="37"/>
      <c r="D15" s="37"/>
    </row>
    <row r="16" spans="1:4" x14ac:dyDescent="0.25">
      <c r="A16" s="37"/>
      <c r="B16" s="36"/>
      <c r="C16" s="37"/>
      <c r="D16" s="37"/>
    </row>
    <row r="17" spans="1:4" x14ac:dyDescent="0.25">
      <c r="A17" s="37"/>
      <c r="B17" s="36"/>
      <c r="C17" s="37"/>
      <c r="D17" s="37"/>
    </row>
    <row r="18" spans="1:4" x14ac:dyDescent="0.25">
      <c r="A18" s="37"/>
      <c r="B18" s="36"/>
      <c r="C18" s="37"/>
      <c r="D18" s="37"/>
    </row>
    <row r="19" spans="1:4" x14ac:dyDescent="0.25">
      <c r="A19" s="37"/>
      <c r="B19" s="36"/>
      <c r="C19" s="37"/>
      <c r="D19" s="37"/>
    </row>
    <row r="20" spans="1:4" x14ac:dyDescent="0.25">
      <c r="A20" s="37"/>
      <c r="B20" s="36"/>
      <c r="C20" s="37"/>
      <c r="D20" s="37"/>
    </row>
    <row r="21" spans="1:4" x14ac:dyDescent="0.25">
      <c r="A21" s="37"/>
      <c r="B21" s="36"/>
      <c r="C21" s="37"/>
      <c r="D21" s="37"/>
    </row>
    <row r="22" spans="1:4" x14ac:dyDescent="0.25">
      <c r="A22" s="37"/>
      <c r="B22" s="36"/>
      <c r="C22" s="37"/>
      <c r="D22" s="37"/>
    </row>
    <row r="23" spans="1:4" x14ac:dyDescent="0.25">
      <c r="A23" s="37"/>
      <c r="B23" s="36"/>
      <c r="C23" s="37"/>
      <c r="D23" s="37"/>
    </row>
    <row r="24" spans="1:4" x14ac:dyDescent="0.25">
      <c r="A24" s="37"/>
      <c r="B24" s="36"/>
      <c r="C24" s="37"/>
      <c r="D24" s="37"/>
    </row>
    <row r="25" spans="1:4" x14ac:dyDescent="0.25">
      <c r="A25" s="37"/>
      <c r="B25" s="36"/>
      <c r="C25" s="37"/>
      <c r="D25" s="3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heetViews>
  <sheetFormatPr defaultRowHeight="15" x14ac:dyDescent="0.25"/>
  <cols>
    <col min="1" max="1" width="3.5703125" customWidth="1"/>
    <col min="2" max="2" width="181.140625" style="30" customWidth="1"/>
  </cols>
  <sheetData>
    <row r="1" spans="1:27" ht="30" x14ac:dyDescent="0.25">
      <c r="A1" s="1"/>
      <c r="B1" s="30" t="s">
        <v>57</v>
      </c>
      <c r="C1" s="1"/>
      <c r="I1" s="1"/>
      <c r="J1" s="1"/>
      <c r="R1" s="1"/>
      <c r="S1" s="1"/>
      <c r="T1" s="1"/>
      <c r="V1" s="1"/>
      <c r="W1" s="1"/>
      <c r="X1" s="1"/>
      <c r="Y1" s="1"/>
      <c r="AA1" s="1"/>
    </row>
    <row r="2" spans="1:27" ht="30" x14ac:dyDescent="0.25">
      <c r="A2" s="1"/>
      <c r="B2" s="30" t="s">
        <v>58</v>
      </c>
      <c r="C2" s="1"/>
      <c r="I2" s="1"/>
      <c r="J2" s="1"/>
      <c r="R2" s="1"/>
      <c r="S2" s="1"/>
      <c r="T2" s="1"/>
      <c r="V2" s="1"/>
      <c r="W2" s="1"/>
      <c r="X2" s="1"/>
      <c r="Y2" s="1"/>
      <c r="AA2" s="1"/>
    </row>
    <row r="3" spans="1:27" ht="45" x14ac:dyDescent="0.25">
      <c r="A3" s="1"/>
      <c r="B3" s="30" t="s">
        <v>63</v>
      </c>
      <c r="C3" s="1"/>
      <c r="I3" s="1"/>
      <c r="J3" s="1"/>
      <c r="R3" s="1"/>
      <c r="S3" s="1"/>
      <c r="T3" s="1"/>
      <c r="V3" s="1"/>
      <c r="W3" s="1"/>
      <c r="X3" s="1"/>
      <c r="Y3" s="1"/>
      <c r="AA3" s="1"/>
    </row>
    <row r="4" spans="1:27" ht="17.25" customHeight="1" x14ac:dyDescent="0.25">
      <c r="A4" s="1"/>
      <c r="B4" s="29" t="s">
        <v>64</v>
      </c>
      <c r="C4" s="1"/>
      <c r="I4" s="1"/>
      <c r="J4" s="1"/>
      <c r="R4" s="1"/>
      <c r="S4" s="1"/>
      <c r="T4" s="1"/>
      <c r="V4" s="1"/>
      <c r="W4" s="1"/>
      <c r="X4" s="1"/>
      <c r="Y4" s="1"/>
      <c r="AA4" s="1"/>
    </row>
    <row r="5" spans="1:27" ht="165" x14ac:dyDescent="0.25">
      <c r="A5" s="1"/>
      <c r="B5" s="29" t="s">
        <v>65</v>
      </c>
      <c r="C5" s="1"/>
      <c r="I5" s="1"/>
      <c r="J5" s="1"/>
      <c r="R5" s="1"/>
      <c r="S5" s="1"/>
      <c r="T5" s="1"/>
      <c r="V5" s="1"/>
      <c r="W5" s="1"/>
      <c r="X5" s="1"/>
      <c r="Y5" s="1"/>
      <c r="AA5" s="1"/>
    </row>
    <row r="6" spans="1:27" x14ac:dyDescent="0.25">
      <c r="A6" s="1"/>
      <c r="B6" s="29"/>
      <c r="C6" s="1"/>
      <c r="I6" s="1"/>
      <c r="J6" s="1"/>
      <c r="R6" s="1"/>
      <c r="S6" s="1"/>
      <c r="T6" s="1"/>
      <c r="V6" s="1"/>
      <c r="W6" s="1"/>
      <c r="X6" s="1"/>
      <c r="Y6" s="1"/>
      <c r="AA6" s="1"/>
    </row>
    <row r="7" spans="1:27" x14ac:dyDescent="0.25">
      <c r="A7" s="1"/>
      <c r="B7" s="29"/>
      <c r="C7" s="1"/>
      <c r="I7" s="1"/>
      <c r="J7" s="1"/>
      <c r="R7" s="1"/>
      <c r="S7" s="1"/>
      <c r="T7" s="1"/>
      <c r="V7" s="1"/>
      <c r="W7" s="1"/>
      <c r="X7" s="1"/>
      <c r="Y7" s="1"/>
      <c r="AA7" s="1"/>
    </row>
    <row r="8" spans="1:27" x14ac:dyDescent="0.25">
      <c r="A8" s="1"/>
      <c r="B8" s="29"/>
      <c r="C8" s="1"/>
      <c r="I8" s="1"/>
      <c r="J8" s="1"/>
      <c r="R8" s="1"/>
      <c r="S8" s="1"/>
      <c r="T8" s="1"/>
      <c r="V8" s="1"/>
      <c r="W8" s="1"/>
      <c r="X8" s="1"/>
      <c r="Y8" s="1"/>
      <c r="AA8" s="1"/>
    </row>
    <row r="9" spans="1:27" x14ac:dyDescent="0.25">
      <c r="A9" s="1"/>
      <c r="B9" s="29"/>
      <c r="C9" s="1"/>
      <c r="I9" s="1"/>
      <c r="J9" s="1"/>
      <c r="R9" s="1"/>
      <c r="S9" s="1"/>
      <c r="T9" s="1"/>
      <c r="V9" s="1"/>
      <c r="W9" s="1"/>
      <c r="X9" s="1"/>
      <c r="Y9" s="1"/>
      <c r="AA9" s="1"/>
    </row>
    <row r="10" spans="1:27" x14ac:dyDescent="0.25">
      <c r="A10" s="1"/>
      <c r="B10" s="29"/>
      <c r="C10" s="1"/>
      <c r="I10" s="1"/>
      <c r="J10" s="1"/>
      <c r="R10" s="1"/>
      <c r="S10" s="1"/>
      <c r="T10" s="1"/>
      <c r="V10" s="1"/>
      <c r="W10" s="1"/>
      <c r="X10" s="1"/>
      <c r="Y10" s="1"/>
      <c r="AA10" s="1"/>
    </row>
    <row r="11" spans="1:27" x14ac:dyDescent="0.25">
      <c r="A11" s="1"/>
      <c r="B11" s="29"/>
      <c r="C11" s="1"/>
      <c r="I11" s="1"/>
      <c r="J11" s="1"/>
      <c r="R11" s="1"/>
      <c r="S11" s="1"/>
      <c r="T11" s="1"/>
      <c r="V11" s="1"/>
      <c r="W11" s="1"/>
      <c r="X11" s="1"/>
      <c r="Y11" s="1"/>
      <c r="AA11" s="1"/>
    </row>
    <row r="12" spans="1:27" x14ac:dyDescent="0.25">
      <c r="A12" s="1"/>
      <c r="B12" s="29"/>
      <c r="C12" s="1"/>
      <c r="I12" s="1"/>
      <c r="J12" s="1"/>
      <c r="R12" s="1"/>
      <c r="S12" s="1"/>
      <c r="T12" s="1"/>
      <c r="V12" s="1"/>
      <c r="W12" s="1"/>
      <c r="X12" s="1"/>
      <c r="Y12" s="1"/>
      <c r="AA12" s="1"/>
    </row>
    <row r="13" spans="1:27" x14ac:dyDescent="0.25">
      <c r="A13" s="1"/>
      <c r="B13" s="29"/>
      <c r="C13" s="1"/>
      <c r="I13" s="1"/>
      <c r="J13" s="1"/>
      <c r="R13" s="1"/>
      <c r="S13" s="1"/>
      <c r="T13" s="1"/>
      <c r="V13" s="1"/>
      <c r="W13" s="1"/>
      <c r="X13" s="1"/>
      <c r="Y13" s="1"/>
      <c r="AA13" s="1"/>
    </row>
    <row r="14" spans="1:27" x14ac:dyDescent="0.25">
      <c r="A14" s="1"/>
      <c r="B14" s="29"/>
      <c r="C14" s="1"/>
      <c r="I14" s="1"/>
      <c r="J14" s="1"/>
      <c r="R14" s="1"/>
      <c r="S14" s="1"/>
      <c r="T14" s="1"/>
      <c r="V14" s="1"/>
      <c r="W14" s="1"/>
      <c r="X14" s="1"/>
      <c r="Y14" s="1"/>
      <c r="AA14" s="1"/>
    </row>
    <row r="15" spans="1:27" x14ac:dyDescent="0.25">
      <c r="A15" s="1"/>
      <c r="B15" s="29"/>
      <c r="C15" s="1"/>
      <c r="I15" s="1"/>
      <c r="J15" s="1"/>
      <c r="R15" s="1"/>
      <c r="S15" s="1"/>
      <c r="T15" s="1"/>
      <c r="V15" s="1"/>
      <c r="W15" s="1"/>
      <c r="X15" s="1"/>
      <c r="Y15" s="1"/>
      <c r="AA15" s="1"/>
    </row>
    <row r="16" spans="1:27" x14ac:dyDescent="0.25">
      <c r="A16" s="1"/>
      <c r="B16" s="29"/>
      <c r="C16" s="1"/>
      <c r="I16" s="1"/>
      <c r="J16" s="1"/>
      <c r="R16" s="1"/>
      <c r="S16" s="1"/>
      <c r="T16" s="1"/>
      <c r="V16" s="1"/>
      <c r="W16" s="1"/>
      <c r="X16" s="1"/>
      <c r="Y16" s="1"/>
      <c r="AA16" s="1"/>
    </row>
    <row r="17" spans="1:27" x14ac:dyDescent="0.25">
      <c r="A17" s="1"/>
      <c r="B17" s="29"/>
      <c r="C17" s="1"/>
      <c r="I17" s="1"/>
      <c r="J17" s="1"/>
      <c r="R17" s="1"/>
      <c r="S17" s="1"/>
      <c r="T17" s="1"/>
      <c r="V17" s="1"/>
      <c r="W17" s="1"/>
      <c r="X17" s="1"/>
      <c r="Y17" s="1"/>
      <c r="AA17" s="1"/>
    </row>
    <row r="18" spans="1:27" x14ac:dyDescent="0.25">
      <c r="A18" s="1"/>
      <c r="B18" s="29"/>
      <c r="C18" s="1"/>
      <c r="I18" s="1"/>
      <c r="J18" s="1"/>
      <c r="R18" s="1"/>
      <c r="S18" s="1"/>
      <c r="T18" s="1"/>
      <c r="V18" s="1"/>
      <c r="W18" s="1"/>
      <c r="X18" s="1"/>
      <c r="Y18" s="1"/>
      <c r="AA18" s="1"/>
    </row>
    <row r="19" spans="1:27" x14ac:dyDescent="0.25">
      <c r="A19" s="1"/>
      <c r="B19" s="29"/>
      <c r="C19" s="1"/>
      <c r="I19" s="1"/>
      <c r="J19" s="1"/>
      <c r="R19" s="1"/>
      <c r="S19" s="1"/>
      <c r="T19" s="1"/>
      <c r="V19" s="1"/>
      <c r="W19" s="1"/>
      <c r="X19" s="1"/>
      <c r="Y19" s="1"/>
      <c r="AA19" s="1"/>
    </row>
    <row r="20" spans="1:27" x14ac:dyDescent="0.25">
      <c r="A20" s="1"/>
      <c r="B20" s="29"/>
      <c r="C20" s="1"/>
      <c r="I20" s="1"/>
      <c r="J20" s="1"/>
      <c r="R20" s="1"/>
      <c r="S20" s="1"/>
      <c r="T20" s="1"/>
      <c r="V20" s="1"/>
      <c r="W20" s="1"/>
      <c r="X20" s="1"/>
      <c r="Y20" s="1"/>
      <c r="AA20" s="1"/>
    </row>
    <row r="21" spans="1:27" x14ac:dyDescent="0.25">
      <c r="A21" s="1"/>
      <c r="B21" s="29"/>
      <c r="C21" s="1"/>
      <c r="I21" s="1"/>
      <c r="J21" s="1"/>
      <c r="R21" s="1"/>
      <c r="S21" s="1"/>
      <c r="T21" s="1"/>
      <c r="V21" s="1"/>
      <c r="W21" s="1"/>
      <c r="X21" s="1"/>
      <c r="Y21" s="1"/>
      <c r="AA21" s="1"/>
    </row>
    <row r="22" spans="1:27" x14ac:dyDescent="0.25">
      <c r="A22" s="1"/>
      <c r="B22" s="29"/>
      <c r="C22" s="1"/>
      <c r="I22" s="1"/>
      <c r="J22" s="1"/>
      <c r="R22" s="1"/>
      <c r="S22" s="1"/>
      <c r="T22" s="1"/>
      <c r="V22" s="1"/>
      <c r="W22" s="1"/>
      <c r="X22" s="1"/>
      <c r="Y22" s="1"/>
      <c r="AA22" s="1"/>
    </row>
    <row r="23" spans="1:27" x14ac:dyDescent="0.25">
      <c r="A23" s="1"/>
      <c r="B23" s="29"/>
      <c r="C23" s="1"/>
      <c r="I23" s="1"/>
      <c r="J23" s="1"/>
      <c r="R23" s="1"/>
      <c r="S23" s="1"/>
      <c r="T23" s="1"/>
      <c r="V23" s="1"/>
      <c r="W23" s="1"/>
      <c r="X23" s="1"/>
      <c r="Y23" s="1"/>
      <c r="AA23" s="1"/>
    </row>
    <row r="24" spans="1:27" x14ac:dyDescent="0.25">
      <c r="A24" s="1"/>
      <c r="B24" s="29"/>
      <c r="C24" s="1"/>
      <c r="I24" s="1"/>
      <c r="J24" s="1"/>
      <c r="R24" s="1"/>
      <c r="S24" s="1"/>
      <c r="T24" s="1"/>
      <c r="V24" s="1"/>
      <c r="W24" s="1"/>
      <c r="X24" s="1"/>
      <c r="Y24" s="1"/>
      <c r="AA24" s="1"/>
    </row>
    <row r="25" spans="1:27" x14ac:dyDescent="0.25">
      <c r="A25" s="1"/>
      <c r="B25" s="29"/>
      <c r="C25" s="1"/>
      <c r="I25" s="1"/>
      <c r="J25" s="1"/>
      <c r="R25" s="1"/>
      <c r="S25" s="1"/>
      <c r="T25" s="1"/>
      <c r="V25" s="1"/>
      <c r="W25" s="1"/>
      <c r="X25" s="1"/>
      <c r="Y25" s="1"/>
      <c r="AA25" s="1"/>
    </row>
    <row r="26" spans="1:27" x14ac:dyDescent="0.25">
      <c r="A26" s="1"/>
      <c r="B26" s="29"/>
      <c r="C26" s="1"/>
      <c r="I26" s="1"/>
      <c r="J26" s="1"/>
      <c r="R26" s="1"/>
      <c r="S26" s="1"/>
      <c r="T26" s="1"/>
      <c r="V26" s="1"/>
      <c r="W26" s="1"/>
      <c r="X26" s="1"/>
      <c r="Y26" s="1"/>
      <c r="AA26" s="1"/>
    </row>
    <row r="27" spans="1:27" x14ac:dyDescent="0.25">
      <c r="A27" s="1"/>
      <c r="B27" s="29"/>
      <c r="C27" s="1"/>
      <c r="I27" s="1"/>
      <c r="J27" s="1"/>
      <c r="R27" s="1"/>
      <c r="S27" s="1"/>
      <c r="T27" s="1"/>
      <c r="V27" s="1"/>
      <c r="W27" s="1"/>
      <c r="X27" s="1"/>
      <c r="Y27" s="1"/>
      <c r="AA27" s="1"/>
    </row>
    <row r="28" spans="1:27" x14ac:dyDescent="0.25">
      <c r="A28" s="1"/>
      <c r="B28" s="29"/>
      <c r="C28" s="1"/>
      <c r="I28" s="1"/>
      <c r="J28" s="1"/>
      <c r="R28" s="1"/>
      <c r="S28" s="1"/>
      <c r="T28" s="1"/>
      <c r="V28" s="1"/>
      <c r="W28" s="1"/>
      <c r="X28" s="1"/>
      <c r="Y28" s="1"/>
      <c r="AA28" s="1"/>
    </row>
    <row r="29" spans="1:27" x14ac:dyDescent="0.25">
      <c r="A29" s="1"/>
      <c r="B29" s="29"/>
      <c r="C29" s="1"/>
      <c r="I29" s="1"/>
      <c r="J29" s="1"/>
      <c r="R29" s="1"/>
      <c r="S29" s="1"/>
      <c r="T29" s="1"/>
      <c r="V29" s="1"/>
      <c r="W29" s="1"/>
      <c r="X29" s="1"/>
      <c r="Y29" s="1"/>
      <c r="AA29" s="1"/>
    </row>
    <row r="30" spans="1:27" x14ac:dyDescent="0.25">
      <c r="A30" s="1"/>
      <c r="B30" s="29"/>
      <c r="C30" s="1"/>
      <c r="I30" s="1"/>
      <c r="J30" s="1"/>
      <c r="R30" s="1"/>
      <c r="S30" s="1"/>
      <c r="T30" s="1"/>
      <c r="V30" s="1"/>
      <c r="W30" s="1"/>
      <c r="X30" s="1"/>
      <c r="Y30" s="1"/>
      <c r="AA30" s="1"/>
    </row>
    <row r="31" spans="1:27" x14ac:dyDescent="0.25">
      <c r="A31" s="1"/>
      <c r="B31" s="29"/>
      <c r="C31" s="1"/>
      <c r="I31" s="1"/>
      <c r="J31" s="1"/>
      <c r="R31" s="1"/>
      <c r="S31" s="1"/>
      <c r="T31" s="1"/>
      <c r="V31" s="1"/>
      <c r="W31" s="1"/>
      <c r="X31" s="1"/>
      <c r="Y31" s="1"/>
      <c r="AA31" s="1"/>
    </row>
    <row r="32" spans="1:27" x14ac:dyDescent="0.25">
      <c r="A32" s="1"/>
      <c r="B32" s="29"/>
      <c r="C32" s="1"/>
      <c r="I32" s="1"/>
      <c r="J32" s="1"/>
      <c r="R32" s="1"/>
      <c r="S32" s="1"/>
      <c r="T32" s="1"/>
      <c r="V32" s="1"/>
      <c r="W32" s="1"/>
      <c r="X32" s="1"/>
      <c r="Y32" s="1"/>
      <c r="AA32" s="1"/>
    </row>
    <row r="33" spans="1:27" x14ac:dyDescent="0.25">
      <c r="A33" s="1"/>
      <c r="B33" s="29"/>
      <c r="C33" s="1"/>
      <c r="I33" s="1"/>
      <c r="J33" s="1"/>
      <c r="R33" s="1"/>
      <c r="S33" s="1"/>
      <c r="T33" s="1"/>
      <c r="V33" s="1"/>
      <c r="W33" s="1"/>
      <c r="X33" s="1"/>
      <c r="Y33" s="1"/>
      <c r="AA33" s="1"/>
    </row>
    <row r="34" spans="1:27" x14ac:dyDescent="0.25">
      <c r="A34" s="1"/>
      <c r="B34" s="29"/>
      <c r="C34" s="1"/>
      <c r="I34" s="1"/>
      <c r="J34" s="1"/>
      <c r="R34" s="1"/>
      <c r="S34" s="1"/>
      <c r="T34" s="1"/>
      <c r="V34" s="1"/>
      <c r="W34" s="1"/>
      <c r="X34" s="1"/>
      <c r="Y34" s="1"/>
      <c r="AA34" s="1"/>
    </row>
    <row r="35" spans="1:27" x14ac:dyDescent="0.25">
      <c r="A35" s="1"/>
      <c r="B35" s="29"/>
      <c r="C35" s="1"/>
      <c r="I35" s="1"/>
      <c r="J35" s="1"/>
      <c r="R35" s="1"/>
      <c r="S35" s="1"/>
      <c r="T35" s="1"/>
      <c r="V35" s="1"/>
      <c r="W35" s="1"/>
      <c r="X35" s="1"/>
      <c r="Y35" s="1"/>
      <c r="AA35" s="1"/>
    </row>
    <row r="36" spans="1:27" x14ac:dyDescent="0.25">
      <c r="A36" s="1"/>
      <c r="B36" s="29"/>
      <c r="C36" s="1"/>
      <c r="I36" s="1"/>
      <c r="J36" s="1"/>
      <c r="R36" s="1"/>
      <c r="S36" s="1"/>
      <c r="T36" s="1"/>
      <c r="V36" s="1"/>
      <c r="W36" s="1"/>
      <c r="X36" s="1"/>
      <c r="Y36" s="1"/>
      <c r="AA36" s="1"/>
    </row>
    <row r="37" spans="1:27" x14ac:dyDescent="0.25">
      <c r="A37" s="1"/>
      <c r="B37" s="29"/>
      <c r="C37" s="1"/>
      <c r="I37" s="1"/>
      <c r="J37" s="1"/>
      <c r="R37" s="1"/>
      <c r="S37" s="1"/>
      <c r="T37" s="1"/>
      <c r="V37" s="1"/>
      <c r="W37" s="1"/>
      <c r="X37" s="1"/>
      <c r="Y37" s="1"/>
      <c r="AA37" s="1"/>
    </row>
    <row r="38" spans="1:27" x14ac:dyDescent="0.25">
      <c r="A38" s="1"/>
      <c r="B38" s="29"/>
      <c r="C38" s="1"/>
      <c r="I38" s="1"/>
      <c r="J38" s="1"/>
      <c r="R38" s="1"/>
      <c r="S38" s="1"/>
      <c r="T38" s="1"/>
      <c r="V38" s="1"/>
      <c r="W38" s="1"/>
      <c r="X38" s="1"/>
      <c r="Y38" s="1"/>
      <c r="AA38" s="1"/>
    </row>
    <row r="39" spans="1:27" x14ac:dyDescent="0.25">
      <c r="A39" s="1"/>
      <c r="B39" s="29"/>
      <c r="C39" s="1"/>
      <c r="I39" s="1"/>
      <c r="J39" s="1"/>
      <c r="R39" s="1"/>
      <c r="S39" s="1"/>
      <c r="T39" s="1"/>
      <c r="V39" s="1"/>
      <c r="W39" s="1"/>
      <c r="X39" s="1"/>
      <c r="Y39" s="1"/>
      <c r="AA39" s="1"/>
    </row>
    <row r="40" spans="1:27" x14ac:dyDescent="0.25">
      <c r="A40" s="1"/>
      <c r="B40" s="29"/>
      <c r="C40" s="1"/>
      <c r="I40" s="1"/>
      <c r="J40" s="1"/>
      <c r="R40" s="1"/>
      <c r="S40" s="1"/>
      <c r="T40" s="1"/>
      <c r="V40" s="1"/>
      <c r="W40" s="1"/>
      <c r="X40" s="1"/>
      <c r="Y40" s="1"/>
      <c r="AA40" s="1"/>
    </row>
    <row r="41" spans="1:27" x14ac:dyDescent="0.25">
      <c r="A41" s="1"/>
      <c r="B41" s="29"/>
      <c r="C41" s="1"/>
      <c r="I41" s="1"/>
      <c r="J41" s="1"/>
      <c r="R41" s="1"/>
      <c r="S41" s="1"/>
      <c r="T41" s="1"/>
      <c r="V41" s="1"/>
      <c r="W41" s="1"/>
      <c r="X41" s="1"/>
      <c r="Y41" s="1"/>
      <c r="AA41" s="1"/>
    </row>
    <row r="42" spans="1:27" x14ac:dyDescent="0.25">
      <c r="A42" s="1"/>
      <c r="B42" s="29"/>
      <c r="C42" s="1"/>
      <c r="I42" s="1"/>
      <c r="J42" s="1"/>
      <c r="R42" s="1"/>
      <c r="S42" s="1"/>
      <c r="T42" s="1"/>
      <c r="V42" s="1"/>
      <c r="W42" s="1"/>
      <c r="X42" s="1"/>
      <c r="Y42" s="1"/>
      <c r="AA42" s="1"/>
    </row>
    <row r="43" spans="1:27" x14ac:dyDescent="0.25">
      <c r="A43" s="1"/>
      <c r="B43" s="29"/>
      <c r="C43" s="1"/>
      <c r="I43" s="1"/>
      <c r="J43" s="1"/>
      <c r="R43" s="1"/>
      <c r="S43" s="1"/>
      <c r="T43" s="1"/>
      <c r="V43" s="1"/>
      <c r="W43" s="1"/>
      <c r="X43" s="1"/>
      <c r="Y43" s="1"/>
      <c r="AA43" s="1"/>
    </row>
    <row r="44" spans="1:27" x14ac:dyDescent="0.25">
      <c r="A44" s="1"/>
      <c r="B44" s="29"/>
      <c r="C44" s="1"/>
      <c r="I44" s="1"/>
      <c r="J44" s="1"/>
      <c r="R44" s="1"/>
      <c r="S44" s="1"/>
      <c r="T44" s="1"/>
      <c r="V44" s="1"/>
      <c r="W44" s="1"/>
      <c r="X44" s="1"/>
      <c r="Y44" s="1"/>
      <c r="AA44" s="1"/>
    </row>
    <row r="45" spans="1:27" x14ac:dyDescent="0.25">
      <c r="A45" s="1"/>
      <c r="B45" s="29"/>
      <c r="C45" s="1"/>
      <c r="I45" s="1"/>
      <c r="J45" s="1"/>
      <c r="R45" s="1"/>
      <c r="S45" s="1"/>
      <c r="T45" s="1"/>
      <c r="V45" s="1"/>
      <c r="W45" s="1"/>
      <c r="X45" s="1"/>
      <c r="Y45" s="1"/>
      <c r="AA45" s="1"/>
    </row>
    <row r="46" spans="1:27" x14ac:dyDescent="0.25">
      <c r="A46" s="1"/>
      <c r="B46" s="29"/>
      <c r="C46" s="1"/>
      <c r="I46" s="1"/>
      <c r="J46" s="1"/>
      <c r="R46" s="1"/>
      <c r="S46" s="1"/>
      <c r="T46" s="1"/>
      <c r="V46" s="1"/>
      <c r="W46" s="1"/>
      <c r="X46" s="1"/>
      <c r="Y46" s="1"/>
      <c r="AA46" s="1"/>
    </row>
    <row r="47" spans="1:27" x14ac:dyDescent="0.25">
      <c r="A47" s="1"/>
      <c r="B47" s="29"/>
      <c r="C47" s="1"/>
      <c r="I47" s="1"/>
      <c r="J47" s="1"/>
      <c r="R47" s="1"/>
      <c r="S47" s="1"/>
      <c r="T47" s="1"/>
      <c r="V47" s="1"/>
      <c r="W47" s="1"/>
      <c r="X47" s="1"/>
      <c r="Y47" s="1"/>
      <c r="AA47" s="1"/>
    </row>
    <row r="48" spans="1:27" x14ac:dyDescent="0.25">
      <c r="A48" s="1"/>
      <c r="B48" s="29"/>
      <c r="C48" s="1"/>
      <c r="I48" s="1"/>
      <c r="J48" s="1"/>
      <c r="R48" s="1"/>
      <c r="S48" s="1"/>
      <c r="T48" s="1"/>
      <c r="V48" s="1"/>
      <c r="W48" s="1"/>
      <c r="X48" s="1"/>
      <c r="Y48" s="1"/>
      <c r="AA48" s="1"/>
    </row>
    <row r="49" spans="1:27" x14ac:dyDescent="0.25">
      <c r="A49" s="1"/>
      <c r="B49" s="29"/>
      <c r="C49" s="1"/>
      <c r="I49" s="1"/>
      <c r="J49" s="1"/>
      <c r="R49" s="1"/>
      <c r="S49" s="1"/>
      <c r="T49" s="1"/>
      <c r="V49" s="1"/>
      <c r="W49" s="1"/>
      <c r="X49" s="1"/>
      <c r="Y49" s="1"/>
      <c r="AA49" s="1"/>
    </row>
    <row r="50" spans="1:27" x14ac:dyDescent="0.25">
      <c r="A50" s="1"/>
      <c r="B50" s="29"/>
      <c r="C50" s="1"/>
      <c r="I50" s="1"/>
      <c r="J50" s="1"/>
      <c r="R50" s="1"/>
      <c r="S50" s="1"/>
      <c r="T50" s="1"/>
      <c r="V50" s="1"/>
      <c r="W50" s="1"/>
      <c r="X50" s="1"/>
      <c r="Y50" s="1"/>
      <c r="AA50" s="1"/>
    </row>
    <row r="51" spans="1:27" x14ac:dyDescent="0.25">
      <c r="A51" s="1"/>
      <c r="B51" s="29"/>
      <c r="C51" s="1"/>
      <c r="I51" s="1"/>
      <c r="J51" s="1"/>
      <c r="R51" s="1"/>
      <c r="S51" s="1"/>
      <c r="T51" s="1"/>
      <c r="V51" s="1"/>
      <c r="W51" s="1"/>
      <c r="X51" s="1"/>
      <c r="Y51" s="1"/>
      <c r="AA51" s="1"/>
    </row>
    <row r="52" spans="1:27" x14ac:dyDescent="0.25">
      <c r="A52" s="1"/>
      <c r="B52" s="29"/>
      <c r="C52" s="1"/>
      <c r="I52" s="1"/>
      <c r="J52" s="1"/>
      <c r="R52" s="1"/>
      <c r="S52" s="1"/>
      <c r="T52" s="1"/>
      <c r="V52" s="1"/>
      <c r="W52" s="1"/>
      <c r="X52" s="1"/>
      <c r="Y52" s="1"/>
      <c r="AA52" s="1"/>
    </row>
    <row r="53" spans="1:27" x14ac:dyDescent="0.25">
      <c r="A53" s="1"/>
      <c r="B53" s="29"/>
      <c r="C53" s="1"/>
      <c r="I53" s="1"/>
      <c r="J53" s="1"/>
      <c r="R53" s="1"/>
      <c r="S53" s="1"/>
      <c r="T53" s="1"/>
      <c r="V53" s="1"/>
      <c r="W53" s="1"/>
      <c r="X53" s="1"/>
      <c r="Y53" s="1"/>
      <c r="AA53" s="1"/>
    </row>
    <row r="54" spans="1:27" x14ac:dyDescent="0.25">
      <c r="A54" s="1"/>
      <c r="B54" s="29"/>
      <c r="C54" s="1"/>
      <c r="I54" s="1"/>
      <c r="J54" s="1"/>
      <c r="R54" s="1"/>
      <c r="S54" s="1"/>
      <c r="T54" s="1"/>
      <c r="V54" s="1"/>
      <c r="W54" s="1"/>
      <c r="X54" s="1"/>
      <c r="Y54" s="1"/>
      <c r="AA54" s="1"/>
    </row>
    <row r="55" spans="1:27" x14ac:dyDescent="0.25">
      <c r="A55" s="1"/>
      <c r="B55" s="29"/>
      <c r="C55" s="1"/>
      <c r="I55" s="1"/>
      <c r="J55" s="1"/>
      <c r="R55" s="1"/>
      <c r="S55" s="1"/>
      <c r="T55" s="1"/>
      <c r="V55" s="1"/>
      <c r="W55" s="1"/>
      <c r="X55" s="1"/>
      <c r="Y55" s="1"/>
      <c r="AA55" s="1"/>
    </row>
    <row r="56" spans="1:27" x14ac:dyDescent="0.25">
      <c r="A56" s="1"/>
      <c r="B56" s="29"/>
      <c r="C56" s="1"/>
      <c r="I56" s="1"/>
      <c r="J56" s="1"/>
      <c r="R56" s="1"/>
      <c r="S56" s="1"/>
      <c r="T56" s="1"/>
      <c r="V56" s="1"/>
      <c r="W56" s="1"/>
      <c r="X56" s="1"/>
      <c r="Y56" s="1"/>
      <c r="AA56" s="1"/>
    </row>
    <row r="57" spans="1:27" x14ac:dyDescent="0.25">
      <c r="A57" s="1"/>
      <c r="B57" s="29"/>
      <c r="C57" s="1"/>
      <c r="I57" s="1"/>
      <c r="J57" s="1"/>
      <c r="R57" s="1"/>
      <c r="S57" s="1"/>
      <c r="T57" s="1"/>
      <c r="V57" s="1"/>
      <c r="W57" s="1"/>
      <c r="X57" s="1"/>
      <c r="Y57" s="1"/>
      <c r="AA57" s="1"/>
    </row>
    <row r="58" spans="1:27" x14ac:dyDescent="0.25">
      <c r="A58" s="1"/>
      <c r="B58" s="29"/>
      <c r="C58" s="1"/>
      <c r="I58" s="1"/>
      <c r="J58" s="1"/>
      <c r="R58" s="1"/>
      <c r="S58" s="1"/>
      <c r="T58" s="1"/>
      <c r="V58" s="1"/>
      <c r="W58" s="1"/>
      <c r="X58" s="1"/>
      <c r="Y58" s="1"/>
      <c r="AA58" s="1"/>
    </row>
    <row r="59" spans="1:27" x14ac:dyDescent="0.25">
      <c r="A59" s="1"/>
      <c r="B59" s="29"/>
      <c r="C59" s="1"/>
      <c r="I59" s="1"/>
      <c r="J59" s="1"/>
      <c r="R59" s="1"/>
      <c r="S59" s="1"/>
      <c r="T59" s="1"/>
      <c r="V59" s="1"/>
      <c r="W59" s="1"/>
      <c r="X59" s="1"/>
      <c r="Y59" s="1"/>
      <c r="AA59" s="1"/>
    </row>
    <row r="60" spans="1:27" x14ac:dyDescent="0.25">
      <c r="A60" s="1"/>
      <c r="B60" s="29"/>
      <c r="C60" s="1"/>
      <c r="I60" s="1"/>
      <c r="J60" s="1"/>
      <c r="R60" s="1"/>
      <c r="S60" s="1"/>
      <c r="T60" s="1"/>
      <c r="V60" s="1"/>
      <c r="W60" s="1"/>
      <c r="X60" s="1"/>
      <c r="Y60" s="1"/>
      <c r="AA60" s="1"/>
    </row>
    <row r="61" spans="1:27" x14ac:dyDescent="0.25">
      <c r="A61" s="1"/>
      <c r="B61" s="29"/>
      <c r="C61" s="1"/>
      <c r="I61" s="1"/>
      <c r="J61" s="1"/>
      <c r="R61" s="1"/>
      <c r="S61" s="1"/>
      <c r="T61" s="1"/>
      <c r="V61" s="1"/>
      <c r="W61" s="1"/>
      <c r="X61" s="1"/>
      <c r="Y61" s="1"/>
      <c r="AA61" s="1"/>
    </row>
    <row r="62" spans="1:27" x14ac:dyDescent="0.25">
      <c r="A62" s="1"/>
      <c r="B62" s="29"/>
      <c r="C62" s="1"/>
      <c r="I62" s="1"/>
      <c r="J62" s="1"/>
      <c r="R62" s="1"/>
      <c r="S62" s="1"/>
      <c r="T62" s="1"/>
      <c r="V62" s="1"/>
      <c r="W62" s="1"/>
      <c r="X62" s="1"/>
      <c r="Y62" s="1"/>
      <c r="AA62" s="1"/>
    </row>
    <row r="63" spans="1:27" x14ac:dyDescent="0.25">
      <c r="A63" s="1"/>
      <c r="B63" s="29"/>
      <c r="C63" s="1"/>
      <c r="I63" s="1"/>
      <c r="J63" s="1"/>
      <c r="R63" s="1"/>
      <c r="S63" s="1"/>
      <c r="T63" s="1"/>
      <c r="V63" s="1"/>
      <c r="W63" s="1"/>
      <c r="X63" s="1"/>
      <c r="Y63" s="1"/>
      <c r="AA63" s="1"/>
    </row>
    <row r="64" spans="1:27" x14ac:dyDescent="0.25">
      <c r="A64" s="1"/>
      <c r="B64" s="29"/>
      <c r="C64" s="1"/>
      <c r="I64" s="1"/>
      <c r="J64" s="1"/>
      <c r="R64" s="1"/>
      <c r="S64" s="1"/>
      <c r="T64" s="1"/>
      <c r="V64" s="1"/>
      <c r="W64" s="1"/>
      <c r="X64" s="1"/>
      <c r="Y64" s="1"/>
      <c r="AA64" s="1"/>
    </row>
    <row r="65" spans="1:27" x14ac:dyDescent="0.25">
      <c r="A65" s="1"/>
      <c r="B65" s="29"/>
      <c r="C65" s="1"/>
      <c r="I65" s="1"/>
      <c r="J65" s="1"/>
      <c r="R65" s="1"/>
      <c r="S65" s="1"/>
      <c r="T65" s="1"/>
      <c r="V65" s="1"/>
      <c r="W65" s="1"/>
      <c r="X65" s="1"/>
      <c r="Y65" s="1"/>
      <c r="AA65" s="1"/>
    </row>
    <row r="66" spans="1:27" x14ac:dyDescent="0.25">
      <c r="A66" s="1"/>
      <c r="B66" s="29"/>
      <c r="C66" s="1"/>
      <c r="I66" s="1"/>
      <c r="J66" s="1"/>
      <c r="R66" s="1"/>
      <c r="S66" s="1"/>
      <c r="T66" s="1"/>
      <c r="V66" s="1"/>
      <c r="W66" s="1"/>
      <c r="X66" s="1"/>
      <c r="Y66" s="1"/>
      <c r="AA66" s="1"/>
    </row>
    <row r="67" spans="1:27" x14ac:dyDescent="0.25">
      <c r="A67" s="1"/>
      <c r="B67" s="29"/>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C79"/>
  <sheetViews>
    <sheetView tabSelected="1" topLeftCell="AG1" workbookViewId="0">
      <selection activeCell="AI5" sqref="AI5:AI9"/>
    </sheetView>
  </sheetViews>
  <sheetFormatPr defaultRowHeight="15" x14ac:dyDescent="0.25"/>
  <cols>
    <col min="2" max="2" width="41.42578125" style="2" customWidth="1"/>
    <col min="3" max="3" width="16.28515625" style="3" customWidth="1"/>
    <col min="4" max="4" width="27.140625" style="2" customWidth="1"/>
    <col min="5" max="5" width="12.85546875" style="3" customWidth="1"/>
    <col min="6" max="6" width="16.85546875" style="3" customWidth="1"/>
    <col min="7" max="8" width="14.140625" style="3" customWidth="1"/>
    <col min="9" max="9" width="14.140625" customWidth="1"/>
    <col min="10" max="10" width="9.7109375" bestFit="1" customWidth="1"/>
    <col min="11" max="12" width="19" customWidth="1"/>
    <col min="13" max="13" width="20.7109375" style="3" customWidth="1"/>
    <col min="14" max="14" width="28.85546875" style="3" customWidth="1"/>
    <col min="15" max="15" width="17.140625" style="3" customWidth="1"/>
    <col min="16" max="16" width="24.28515625" style="3" customWidth="1"/>
    <col min="17" max="18" width="26" style="3" customWidth="1"/>
    <col min="19" max="21" width="20.7109375" style="3" customWidth="1"/>
    <col min="22" max="22" width="20.42578125" style="3" customWidth="1"/>
    <col min="23" max="35" width="19.42578125" style="3" customWidth="1"/>
    <col min="36" max="36" width="18.28515625" style="3" customWidth="1"/>
    <col min="37" max="37" width="17.28515625" style="3" customWidth="1"/>
    <col min="38" max="38" width="20.28515625" style="3" customWidth="1"/>
    <col min="39" max="39" width="30.28515625" style="3" bestFit="1" customWidth="1"/>
    <col min="40" max="40" width="6.42578125" style="3" customWidth="1"/>
    <col min="41" max="41" width="13.28515625" style="3" customWidth="1"/>
    <col min="42" max="42" width="15" style="3" customWidth="1"/>
    <col min="43" max="43" width="17.85546875" style="3" customWidth="1"/>
    <col min="44" max="44" width="14.7109375" style="3" customWidth="1"/>
    <col min="45" max="46" width="9.140625" customWidth="1"/>
    <col min="47" max="47" width="11.140625" customWidth="1"/>
    <col min="48" max="48" width="12.28515625" customWidth="1"/>
    <col min="49" max="49" width="12.42578125" customWidth="1"/>
    <col min="51" max="51" width="11.85546875" customWidth="1"/>
    <col min="52" max="52" width="13.7109375" customWidth="1"/>
    <col min="55" max="55" width="9.7109375" bestFit="1" customWidth="1"/>
  </cols>
  <sheetData>
    <row r="1" spans="1:55" x14ac:dyDescent="0.25">
      <c r="B1" s="48" t="s">
        <v>10</v>
      </c>
      <c r="C1" s="48"/>
      <c r="D1" s="48"/>
      <c r="E1" s="48"/>
      <c r="F1" s="49"/>
      <c r="G1" s="7"/>
      <c r="H1" s="7"/>
      <c r="K1" s="8" t="s">
        <v>14</v>
      </c>
      <c r="L1" s="10" t="s">
        <v>12</v>
      </c>
      <c r="M1" s="13" t="s">
        <v>95</v>
      </c>
      <c r="N1" s="13" t="s">
        <v>94</v>
      </c>
      <c r="O1" s="13" t="s">
        <v>97</v>
      </c>
      <c r="P1" s="13" t="s">
        <v>98</v>
      </c>
      <c r="Q1" s="13" t="s">
        <v>99</v>
      </c>
      <c r="R1" s="13" t="s">
        <v>100</v>
      </c>
      <c r="S1" s="13" t="s">
        <v>103</v>
      </c>
      <c r="T1" s="13" t="s">
        <v>115</v>
      </c>
      <c r="U1" s="13" t="s">
        <v>118</v>
      </c>
      <c r="V1" s="13" t="s">
        <v>120</v>
      </c>
      <c r="W1" s="13" t="s">
        <v>121</v>
      </c>
      <c r="X1" s="13" t="s">
        <v>123</v>
      </c>
      <c r="Y1" s="13" t="s">
        <v>125</v>
      </c>
      <c r="Z1" s="13" t="s">
        <v>126</v>
      </c>
      <c r="AA1" s="13" t="s">
        <v>128</v>
      </c>
      <c r="AB1" s="13" t="s">
        <v>129</v>
      </c>
      <c r="AC1" s="13" t="s">
        <v>130</v>
      </c>
      <c r="AD1" s="13" t="s">
        <v>131</v>
      </c>
      <c r="AE1" s="13" t="s">
        <v>132</v>
      </c>
      <c r="AF1" s="13" t="s">
        <v>133</v>
      </c>
      <c r="AG1" s="13" t="s">
        <v>134</v>
      </c>
      <c r="AH1" s="13" t="s">
        <v>135</v>
      </c>
      <c r="AI1" s="13" t="s">
        <v>105</v>
      </c>
      <c r="AJ1" s="13" t="s">
        <v>143</v>
      </c>
      <c r="AK1" s="13" t="s">
        <v>144</v>
      </c>
      <c r="AL1" s="13" t="s">
        <v>145</v>
      </c>
      <c r="AM1" s="13" t="s">
        <v>146</v>
      </c>
      <c r="AN1" s="13" t="s">
        <v>147</v>
      </c>
      <c r="AO1" s="13" t="s">
        <v>148</v>
      </c>
      <c r="AP1" s="13" t="s">
        <v>149</v>
      </c>
      <c r="AQ1" s="13" t="s">
        <v>150</v>
      </c>
      <c r="AR1" s="13" t="s">
        <v>151</v>
      </c>
      <c r="AU1" s="7" t="s">
        <v>17</v>
      </c>
      <c r="AV1" s="7" t="s">
        <v>23</v>
      </c>
      <c r="AW1" s="7" t="s">
        <v>26</v>
      </c>
      <c r="AY1" s="31" t="s">
        <v>17</v>
      </c>
      <c r="AZ1" s="31" t="s">
        <v>23</v>
      </c>
      <c r="BA1" s="31" t="s">
        <v>26</v>
      </c>
    </row>
    <row r="2" spans="1:55" x14ac:dyDescent="0.25">
      <c r="A2" s="7" t="s">
        <v>9</v>
      </c>
      <c r="B2" s="9" t="s">
        <v>4</v>
      </c>
      <c r="C2" s="7" t="s">
        <v>3</v>
      </c>
      <c r="D2" s="9" t="s">
        <v>7</v>
      </c>
      <c r="E2" s="7" t="s">
        <v>5</v>
      </c>
      <c r="F2" s="7" t="s">
        <v>6</v>
      </c>
      <c r="G2" s="7" t="s">
        <v>13</v>
      </c>
      <c r="H2" s="7" t="s">
        <v>27</v>
      </c>
      <c r="K2" s="8" t="s">
        <v>15</v>
      </c>
      <c r="L2" s="10" t="s">
        <v>19</v>
      </c>
      <c r="M2" s="13">
        <v>4</v>
      </c>
      <c r="N2" s="13">
        <v>5</v>
      </c>
      <c r="O2" s="13">
        <v>6</v>
      </c>
      <c r="P2" s="13">
        <v>7</v>
      </c>
      <c r="Q2" s="13">
        <v>8</v>
      </c>
      <c r="R2" s="13">
        <v>9</v>
      </c>
      <c r="S2" s="13">
        <v>10</v>
      </c>
      <c r="T2" s="13">
        <v>12</v>
      </c>
      <c r="U2" s="13">
        <v>13</v>
      </c>
      <c r="V2" s="13">
        <v>14</v>
      </c>
      <c r="W2" s="13">
        <v>15</v>
      </c>
      <c r="X2" s="13">
        <v>16</v>
      </c>
      <c r="Y2" s="13">
        <v>17</v>
      </c>
      <c r="Z2" s="13">
        <v>18</v>
      </c>
      <c r="AA2" s="13">
        <v>19</v>
      </c>
      <c r="AB2" s="13">
        <v>20</v>
      </c>
      <c r="AC2" s="13">
        <v>21</v>
      </c>
      <c r="AD2" s="13">
        <v>22</v>
      </c>
      <c r="AE2" s="13">
        <v>23</v>
      </c>
      <c r="AF2" s="13">
        <v>24</v>
      </c>
      <c r="AG2" s="13">
        <v>25</v>
      </c>
      <c r="AH2" s="13">
        <v>26</v>
      </c>
      <c r="AI2" s="13">
        <v>27</v>
      </c>
      <c r="AJ2" s="13">
        <v>28</v>
      </c>
      <c r="AK2" s="13">
        <v>29</v>
      </c>
      <c r="AL2" s="13">
        <v>30</v>
      </c>
      <c r="AM2" s="13">
        <v>31</v>
      </c>
      <c r="AN2" s="13">
        <v>32</v>
      </c>
      <c r="AO2" s="13">
        <v>33</v>
      </c>
      <c r="AP2" s="13">
        <v>34</v>
      </c>
      <c r="AQ2" s="13">
        <v>35</v>
      </c>
      <c r="AR2" s="13">
        <v>36</v>
      </c>
      <c r="AU2" s="10"/>
      <c r="AV2" s="10"/>
      <c r="AW2" s="10"/>
      <c r="AY2" s="31"/>
      <c r="AZ2" s="31"/>
      <c r="BA2" s="31"/>
    </row>
    <row r="3" spans="1:55" x14ac:dyDescent="0.25">
      <c r="A3" s="7">
        <v>1</v>
      </c>
      <c r="B3" s="12" t="s">
        <v>86</v>
      </c>
      <c r="C3" s="13">
        <v>2</v>
      </c>
      <c r="D3" s="12"/>
      <c r="E3" s="15">
        <v>5678</v>
      </c>
      <c r="F3" s="13">
        <v>1</v>
      </c>
      <c r="G3" s="13">
        <v>12</v>
      </c>
      <c r="H3" s="13">
        <v>0</v>
      </c>
      <c r="K3" s="9" t="s">
        <v>16</v>
      </c>
      <c r="L3" s="10" t="s">
        <v>20</v>
      </c>
      <c r="M3" s="13"/>
      <c r="N3" s="13"/>
      <c r="O3" s="13"/>
      <c r="P3" s="13"/>
      <c r="Q3" s="25"/>
      <c r="R3" s="25" t="s">
        <v>101</v>
      </c>
      <c r="S3" s="25" t="s">
        <v>101</v>
      </c>
      <c r="T3" s="25"/>
      <c r="U3" s="25"/>
      <c r="V3" s="13" t="s">
        <v>21</v>
      </c>
      <c r="W3" s="25"/>
      <c r="X3" s="25"/>
      <c r="Y3" s="25"/>
      <c r="Z3" s="25"/>
      <c r="AA3" s="25"/>
      <c r="AB3" s="25"/>
      <c r="AC3" s="25"/>
      <c r="AD3" s="13"/>
      <c r="AE3" s="13"/>
      <c r="AF3" s="13"/>
      <c r="AG3" s="13"/>
      <c r="AH3" s="13"/>
      <c r="AI3" s="25"/>
      <c r="AJ3" s="13"/>
      <c r="AK3" s="13"/>
      <c r="AL3" s="13"/>
      <c r="AM3" s="13"/>
      <c r="AN3" s="13"/>
      <c r="AO3" s="13"/>
      <c r="AP3" s="13"/>
      <c r="AQ3" s="13"/>
      <c r="AR3" s="13"/>
      <c r="AU3" s="7" t="s">
        <v>22</v>
      </c>
      <c r="AV3" s="7" t="s">
        <v>24</v>
      </c>
      <c r="AW3" s="7" t="s">
        <v>25</v>
      </c>
      <c r="AY3" s="31" t="s">
        <v>22</v>
      </c>
      <c r="AZ3" s="31" t="s">
        <v>24</v>
      </c>
      <c r="BA3" s="31" t="s">
        <v>25</v>
      </c>
    </row>
    <row r="4" spans="1:55" x14ac:dyDescent="0.25">
      <c r="A4" s="7">
        <v>2</v>
      </c>
      <c r="B4" s="12"/>
      <c r="C4" s="13"/>
      <c r="D4" s="12"/>
      <c r="E4" s="15"/>
      <c r="F4" s="13"/>
      <c r="G4" s="13"/>
      <c r="H4" s="13"/>
      <c r="I4" s="42"/>
      <c r="J4" s="42"/>
      <c r="L4" s="24">
        <v>1</v>
      </c>
      <c r="M4" s="18" t="s">
        <v>89</v>
      </c>
      <c r="N4" s="19" t="s">
        <v>96</v>
      </c>
      <c r="O4" s="19" t="s">
        <v>91</v>
      </c>
      <c r="P4" s="20" t="s">
        <v>88</v>
      </c>
      <c r="Q4" s="19" t="s">
        <v>43</v>
      </c>
      <c r="R4" s="19" t="s">
        <v>170</v>
      </c>
      <c r="S4" s="20" t="s">
        <v>171</v>
      </c>
      <c r="T4" s="20" t="s">
        <v>116</v>
      </c>
      <c r="U4" s="20" t="s">
        <v>119</v>
      </c>
      <c r="V4" s="20" t="s">
        <v>104</v>
      </c>
      <c r="W4" s="20" t="s">
        <v>122</v>
      </c>
      <c r="X4" s="20" t="s">
        <v>124</v>
      </c>
      <c r="Y4" s="20" t="s">
        <v>122</v>
      </c>
      <c r="Z4" s="44" t="s">
        <v>127</v>
      </c>
      <c r="AA4" s="44" t="s">
        <v>122</v>
      </c>
      <c r="AB4" s="44" t="s">
        <v>122</v>
      </c>
      <c r="AC4" s="44" t="s">
        <v>122</v>
      </c>
      <c r="AD4" s="44" t="s">
        <v>127</v>
      </c>
      <c r="AE4" s="44" t="s">
        <v>122</v>
      </c>
      <c r="AF4" s="44" t="s">
        <v>136</v>
      </c>
      <c r="AG4" s="44" t="s">
        <v>137</v>
      </c>
      <c r="AH4" s="44" t="s">
        <v>39</v>
      </c>
      <c r="AI4" s="19" t="s">
        <v>179</v>
      </c>
      <c r="AJ4" s="19" t="s">
        <v>152</v>
      </c>
      <c r="AK4" s="19" t="s">
        <v>153</v>
      </c>
      <c r="AL4" s="19" t="s">
        <v>153</v>
      </c>
      <c r="AM4" s="19" t="s">
        <v>154</v>
      </c>
      <c r="AN4" s="19" t="s">
        <v>155</v>
      </c>
      <c r="AO4" s="19" t="s">
        <v>156</v>
      </c>
      <c r="AP4" s="19" t="s">
        <v>157</v>
      </c>
      <c r="AQ4" s="19" t="s">
        <v>152</v>
      </c>
      <c r="AR4" s="19" t="s">
        <v>152</v>
      </c>
      <c r="AS4" s="22"/>
      <c r="AT4" s="22"/>
      <c r="AU4" s="19">
        <v>20160328</v>
      </c>
      <c r="AV4" s="19" t="s">
        <v>102</v>
      </c>
      <c r="AW4" s="19">
        <v>60</v>
      </c>
      <c r="AY4" s="19">
        <v>20160328</v>
      </c>
      <c r="AZ4" s="19" t="s">
        <v>106</v>
      </c>
      <c r="BA4" s="19">
        <v>60</v>
      </c>
      <c r="BC4" s="42"/>
    </row>
    <row r="5" spans="1:55" x14ac:dyDescent="0.25">
      <c r="A5" s="7">
        <v>3</v>
      </c>
      <c r="B5" s="12"/>
      <c r="C5" s="13"/>
      <c r="D5" s="12"/>
      <c r="E5" s="13"/>
      <c r="F5" s="13"/>
      <c r="G5" s="13"/>
      <c r="H5" s="13"/>
      <c r="I5" s="42"/>
      <c r="J5" s="42"/>
      <c r="L5" s="24">
        <v>1</v>
      </c>
      <c r="M5" s="18" t="s">
        <v>89</v>
      </c>
      <c r="N5" s="19" t="s">
        <v>96</v>
      </c>
      <c r="O5" s="19" t="s">
        <v>91</v>
      </c>
      <c r="P5" s="20" t="s">
        <v>88</v>
      </c>
      <c r="Q5" s="19" t="s">
        <v>43</v>
      </c>
      <c r="R5" s="19" t="s">
        <v>170</v>
      </c>
      <c r="S5" s="20" t="s">
        <v>171</v>
      </c>
      <c r="T5" s="20" t="s">
        <v>117</v>
      </c>
      <c r="U5" s="20" t="s">
        <v>119</v>
      </c>
      <c r="V5" s="20" t="s">
        <v>104</v>
      </c>
      <c r="W5" s="20" t="s">
        <v>122</v>
      </c>
      <c r="X5" s="20" t="s">
        <v>124</v>
      </c>
      <c r="Y5" s="20" t="s">
        <v>122</v>
      </c>
      <c r="Z5" s="44" t="s">
        <v>127</v>
      </c>
      <c r="AA5" s="44" t="s">
        <v>122</v>
      </c>
      <c r="AB5" s="44" t="s">
        <v>122</v>
      </c>
      <c r="AC5" s="44" t="s">
        <v>122</v>
      </c>
      <c r="AD5" s="44" t="s">
        <v>127</v>
      </c>
      <c r="AE5" s="44" t="s">
        <v>122</v>
      </c>
      <c r="AF5" s="44" t="s">
        <v>139</v>
      </c>
      <c r="AG5" s="44" t="s">
        <v>140</v>
      </c>
      <c r="AH5" s="44" t="s">
        <v>39</v>
      </c>
      <c r="AI5" s="19" t="s">
        <v>179</v>
      </c>
      <c r="AJ5" s="19" t="s">
        <v>152</v>
      </c>
      <c r="AK5" s="19" t="s">
        <v>153</v>
      </c>
      <c r="AL5" s="19" t="s">
        <v>153</v>
      </c>
      <c r="AM5" s="19" t="s">
        <v>158</v>
      </c>
      <c r="AN5" s="19" t="s">
        <v>159</v>
      </c>
      <c r="AO5" s="19" t="s">
        <v>156</v>
      </c>
      <c r="AP5" s="19" t="s">
        <v>160</v>
      </c>
      <c r="AQ5" s="19" t="s">
        <v>152</v>
      </c>
      <c r="AR5" s="19" t="s">
        <v>152</v>
      </c>
      <c r="AS5" s="22"/>
      <c r="AT5" s="22"/>
      <c r="AU5" s="19">
        <v>20160328</v>
      </c>
      <c r="AV5" s="19" t="s">
        <v>106</v>
      </c>
      <c r="AW5" s="19">
        <v>60</v>
      </c>
      <c r="AY5" s="19">
        <v>20160328</v>
      </c>
      <c r="AZ5" s="19" t="s">
        <v>113</v>
      </c>
      <c r="BA5" s="19">
        <v>60</v>
      </c>
      <c r="BC5" s="42"/>
    </row>
    <row r="6" spans="1:55" x14ac:dyDescent="0.25">
      <c r="A6" s="7">
        <v>4</v>
      </c>
      <c r="B6" s="12"/>
      <c r="C6" s="13"/>
      <c r="D6" s="12"/>
      <c r="E6" s="13"/>
      <c r="F6" s="13"/>
      <c r="G6" s="13"/>
      <c r="H6" s="13"/>
      <c r="I6" s="42"/>
      <c r="J6" s="42"/>
      <c r="L6" s="24">
        <v>1</v>
      </c>
      <c r="M6" s="18" t="s">
        <v>89</v>
      </c>
      <c r="N6" s="19" t="s">
        <v>96</v>
      </c>
      <c r="O6" s="19" t="s">
        <v>91</v>
      </c>
      <c r="P6" s="20" t="s">
        <v>88</v>
      </c>
      <c r="Q6" s="19" t="s">
        <v>43</v>
      </c>
      <c r="R6" s="19" t="s">
        <v>170</v>
      </c>
      <c r="S6" s="20" t="s">
        <v>171</v>
      </c>
      <c r="T6" s="20" t="s">
        <v>117</v>
      </c>
      <c r="U6" s="20" t="s">
        <v>119</v>
      </c>
      <c r="V6" s="20" t="s">
        <v>104</v>
      </c>
      <c r="W6" s="20" t="s">
        <v>122</v>
      </c>
      <c r="X6" s="20" t="s">
        <v>124</v>
      </c>
      <c r="Y6" s="20" t="s">
        <v>122</v>
      </c>
      <c r="Z6" s="44" t="s">
        <v>127</v>
      </c>
      <c r="AA6" s="44" t="s">
        <v>122</v>
      </c>
      <c r="AB6" s="44" t="s">
        <v>122</v>
      </c>
      <c r="AC6" s="44" t="s">
        <v>122</v>
      </c>
      <c r="AD6" s="44" t="s">
        <v>127</v>
      </c>
      <c r="AE6" s="44" t="s">
        <v>122</v>
      </c>
      <c r="AF6" s="44" t="s">
        <v>136</v>
      </c>
      <c r="AG6" s="44" t="s">
        <v>141</v>
      </c>
      <c r="AH6" s="44" t="s">
        <v>39</v>
      </c>
      <c r="AI6" s="19" t="s">
        <v>179</v>
      </c>
      <c r="AJ6" s="19" t="s">
        <v>152</v>
      </c>
      <c r="AK6" s="19" t="s">
        <v>153</v>
      </c>
      <c r="AL6" s="19" t="s">
        <v>153</v>
      </c>
      <c r="AM6" s="19" t="s">
        <v>161</v>
      </c>
      <c r="AN6" s="19" t="s">
        <v>162</v>
      </c>
      <c r="AO6" s="19" t="s">
        <v>163</v>
      </c>
      <c r="AP6" s="19" t="s">
        <v>164</v>
      </c>
      <c r="AQ6" s="19" t="s">
        <v>152</v>
      </c>
      <c r="AR6" s="19" t="s">
        <v>152</v>
      </c>
      <c r="AS6" s="22"/>
      <c r="AT6" s="22"/>
      <c r="AU6" s="19">
        <v>20160328</v>
      </c>
      <c r="AV6" s="19" t="s">
        <v>102</v>
      </c>
      <c r="AW6" s="19">
        <v>60</v>
      </c>
      <c r="AY6" s="19">
        <v>20160328</v>
      </c>
      <c r="AZ6" s="19" t="s">
        <v>106</v>
      </c>
      <c r="BA6" s="19">
        <v>60</v>
      </c>
    </row>
    <row r="7" spans="1:55" x14ac:dyDescent="0.25">
      <c r="A7" s="7">
        <v>5</v>
      </c>
      <c r="B7" s="12"/>
      <c r="C7" s="13"/>
      <c r="D7" s="12"/>
      <c r="E7" s="16"/>
      <c r="F7" s="13"/>
      <c r="G7" s="13"/>
      <c r="H7" s="13"/>
      <c r="I7" s="42"/>
      <c r="J7" s="42"/>
      <c r="L7" s="24">
        <v>1</v>
      </c>
      <c r="M7" s="18" t="s">
        <v>89</v>
      </c>
      <c r="N7" s="19" t="s">
        <v>96</v>
      </c>
      <c r="O7" s="19" t="s">
        <v>91</v>
      </c>
      <c r="P7" s="20" t="s">
        <v>88</v>
      </c>
      <c r="Q7" s="19" t="s">
        <v>43</v>
      </c>
      <c r="R7" s="19" t="s">
        <v>170</v>
      </c>
      <c r="S7" s="20" t="s">
        <v>171</v>
      </c>
      <c r="T7" s="20" t="s">
        <v>117</v>
      </c>
      <c r="U7" s="20" t="s">
        <v>119</v>
      </c>
      <c r="V7" s="20" t="s">
        <v>104</v>
      </c>
      <c r="W7" s="20" t="s">
        <v>122</v>
      </c>
      <c r="X7" s="20" t="s">
        <v>124</v>
      </c>
      <c r="Y7" s="20" t="s">
        <v>122</v>
      </c>
      <c r="Z7" s="44" t="s">
        <v>127</v>
      </c>
      <c r="AA7" s="44" t="s">
        <v>122</v>
      </c>
      <c r="AB7" s="44" t="s">
        <v>122</v>
      </c>
      <c r="AC7" s="44" t="s">
        <v>122</v>
      </c>
      <c r="AD7" s="44" t="s">
        <v>127</v>
      </c>
      <c r="AE7" s="44" t="s">
        <v>122</v>
      </c>
      <c r="AF7" s="44" t="s">
        <v>136</v>
      </c>
      <c r="AG7" s="44" t="s">
        <v>142</v>
      </c>
      <c r="AH7" s="44" t="s">
        <v>39</v>
      </c>
      <c r="AI7" s="19" t="s">
        <v>179</v>
      </c>
      <c r="AJ7" s="19" t="s">
        <v>152</v>
      </c>
      <c r="AK7" s="19" t="s">
        <v>153</v>
      </c>
      <c r="AL7" s="19" t="s">
        <v>153</v>
      </c>
      <c r="AM7" s="19" t="s">
        <v>158</v>
      </c>
      <c r="AN7" s="19" t="s">
        <v>165</v>
      </c>
      <c r="AO7" s="19" t="s">
        <v>163</v>
      </c>
      <c r="AP7" s="19" t="s">
        <v>166</v>
      </c>
      <c r="AQ7" s="19" t="s">
        <v>153</v>
      </c>
      <c r="AR7" s="19" t="s">
        <v>153</v>
      </c>
      <c r="AS7" s="22"/>
      <c r="AT7" s="22"/>
      <c r="AU7" s="19">
        <v>20160328</v>
      </c>
      <c r="AV7" s="19" t="s">
        <v>102</v>
      </c>
      <c r="AW7" s="19">
        <v>60</v>
      </c>
      <c r="AY7" s="19">
        <v>20160328</v>
      </c>
      <c r="AZ7" s="19" t="s">
        <v>106</v>
      </c>
      <c r="BA7" s="19">
        <v>60</v>
      </c>
    </row>
    <row r="8" spans="1:55" x14ac:dyDescent="0.25">
      <c r="A8" s="7">
        <v>6</v>
      </c>
      <c r="B8" s="12"/>
      <c r="C8" s="13"/>
      <c r="D8" s="12"/>
      <c r="E8" s="13"/>
      <c r="F8" s="13"/>
      <c r="G8" s="13"/>
      <c r="H8" s="13"/>
      <c r="I8" s="42"/>
      <c r="J8" s="42"/>
      <c r="L8" s="24">
        <v>1</v>
      </c>
      <c r="M8" s="18" t="s">
        <v>89</v>
      </c>
      <c r="N8" s="19" t="s">
        <v>96</v>
      </c>
      <c r="O8" s="19" t="s">
        <v>91</v>
      </c>
      <c r="P8" s="20" t="s">
        <v>88</v>
      </c>
      <c r="Q8" s="19" t="s">
        <v>43</v>
      </c>
      <c r="R8" s="19" t="s">
        <v>170</v>
      </c>
      <c r="S8" s="20" t="s">
        <v>171</v>
      </c>
      <c r="T8" s="20" t="s">
        <v>117</v>
      </c>
      <c r="U8" s="20" t="s">
        <v>119</v>
      </c>
      <c r="V8" s="20" t="s">
        <v>104</v>
      </c>
      <c r="W8" s="20" t="s">
        <v>122</v>
      </c>
      <c r="X8" s="20" t="s">
        <v>124</v>
      </c>
      <c r="Y8" s="20" t="s">
        <v>122</v>
      </c>
      <c r="Z8" s="44" t="s">
        <v>127</v>
      </c>
      <c r="AA8" s="44" t="s">
        <v>122</v>
      </c>
      <c r="AB8" s="44" t="s">
        <v>122</v>
      </c>
      <c r="AC8" s="44" t="s">
        <v>122</v>
      </c>
      <c r="AD8" s="44" t="s">
        <v>127</v>
      </c>
      <c r="AE8" s="44" t="s">
        <v>122</v>
      </c>
      <c r="AF8" s="44" t="s">
        <v>136</v>
      </c>
      <c r="AG8" s="44" t="s">
        <v>138</v>
      </c>
      <c r="AH8" s="44" t="s">
        <v>39</v>
      </c>
      <c r="AI8" s="19" t="s">
        <v>179</v>
      </c>
      <c r="AJ8" s="19" t="s">
        <v>152</v>
      </c>
      <c r="AK8" s="19" t="s">
        <v>153</v>
      </c>
      <c r="AL8" s="19" t="s">
        <v>153</v>
      </c>
      <c r="AM8" s="19" t="s">
        <v>158</v>
      </c>
      <c r="AN8" s="19" t="s">
        <v>167</v>
      </c>
      <c r="AO8" s="19" t="s">
        <v>168</v>
      </c>
      <c r="AP8" s="19" t="s">
        <v>169</v>
      </c>
      <c r="AQ8" s="19" t="s">
        <v>153</v>
      </c>
      <c r="AR8" s="19" t="s">
        <v>153</v>
      </c>
      <c r="AS8" s="22"/>
      <c r="AT8" s="22"/>
      <c r="AU8" s="19">
        <v>20160328</v>
      </c>
      <c r="AV8" s="19" t="s">
        <v>102</v>
      </c>
      <c r="AW8" s="19">
        <v>60</v>
      </c>
      <c r="AY8" s="19">
        <v>20160328</v>
      </c>
      <c r="AZ8" s="19" t="s">
        <v>106</v>
      </c>
      <c r="BA8" s="19">
        <v>60</v>
      </c>
    </row>
    <row r="9" spans="1:55" x14ac:dyDescent="0.25">
      <c r="A9" s="7">
        <v>7</v>
      </c>
      <c r="B9" s="12"/>
      <c r="C9" s="13"/>
      <c r="D9" s="12"/>
      <c r="E9" s="13"/>
      <c r="F9" s="13"/>
      <c r="G9" s="13"/>
      <c r="H9" s="13"/>
      <c r="I9" s="42"/>
      <c r="J9" s="42"/>
      <c r="L9" s="24">
        <v>1</v>
      </c>
      <c r="M9" s="18" t="s">
        <v>89</v>
      </c>
      <c r="N9" s="19" t="s">
        <v>96</v>
      </c>
      <c r="O9" s="19" t="s">
        <v>91</v>
      </c>
      <c r="P9" s="20" t="s">
        <v>88</v>
      </c>
      <c r="Q9" s="19" t="s">
        <v>43</v>
      </c>
      <c r="R9" s="19" t="s">
        <v>170</v>
      </c>
      <c r="S9" s="20" t="s">
        <v>171</v>
      </c>
      <c r="T9" s="20" t="s">
        <v>117</v>
      </c>
      <c r="U9" s="20" t="s">
        <v>119</v>
      </c>
      <c r="V9" s="20" t="s">
        <v>104</v>
      </c>
      <c r="W9" s="20" t="s">
        <v>122</v>
      </c>
      <c r="X9" s="20" t="s">
        <v>124</v>
      </c>
      <c r="Y9" s="20" t="s">
        <v>122</v>
      </c>
      <c r="Z9" s="44" t="s">
        <v>127</v>
      </c>
      <c r="AA9" s="44" t="s">
        <v>122</v>
      </c>
      <c r="AB9" s="44" t="s">
        <v>122</v>
      </c>
      <c r="AC9" s="44" t="s">
        <v>122</v>
      </c>
      <c r="AD9" s="44" t="s">
        <v>127</v>
      </c>
      <c r="AE9" s="44" t="s">
        <v>122</v>
      </c>
      <c r="AF9" s="44" t="s">
        <v>136</v>
      </c>
      <c r="AG9" s="44" t="s">
        <v>138</v>
      </c>
      <c r="AH9" s="44" t="s">
        <v>39</v>
      </c>
      <c r="AI9" s="19" t="s">
        <v>179</v>
      </c>
      <c r="AJ9" s="19" t="s">
        <v>152</v>
      </c>
      <c r="AK9" s="19" t="s">
        <v>153</v>
      </c>
      <c r="AL9" s="19" t="s">
        <v>153</v>
      </c>
      <c r="AM9" s="19" t="s">
        <v>158</v>
      </c>
      <c r="AN9" s="19" t="s">
        <v>167</v>
      </c>
      <c r="AO9" s="19" t="s">
        <v>168</v>
      </c>
      <c r="AP9" s="19" t="s">
        <v>169</v>
      </c>
      <c r="AQ9" s="19" t="s">
        <v>153</v>
      </c>
      <c r="AR9" s="19" t="s">
        <v>153</v>
      </c>
      <c r="AS9" s="22"/>
      <c r="AT9" s="22"/>
      <c r="AU9" s="19">
        <v>20160328</v>
      </c>
      <c r="AV9" s="19" t="s">
        <v>102</v>
      </c>
      <c r="AW9" s="19">
        <v>60</v>
      </c>
      <c r="AY9" s="19">
        <v>20160328</v>
      </c>
      <c r="AZ9" s="19" t="s">
        <v>106</v>
      </c>
      <c r="BA9" s="19">
        <v>60</v>
      </c>
    </row>
    <row r="10" spans="1:55" x14ac:dyDescent="0.25">
      <c r="A10" s="7">
        <v>8</v>
      </c>
      <c r="B10" s="12"/>
      <c r="C10" s="13"/>
      <c r="D10" s="12"/>
      <c r="E10" s="13"/>
      <c r="F10" s="13"/>
      <c r="G10" s="13"/>
      <c r="H10" s="13"/>
      <c r="I10" s="42"/>
      <c r="J10" s="42"/>
      <c r="L10" s="19"/>
      <c r="M10" s="18"/>
      <c r="N10" s="18"/>
      <c r="O10" s="19"/>
      <c r="P10" s="20"/>
      <c r="Q10" s="19"/>
      <c r="R10" s="19"/>
      <c r="S10" s="20"/>
      <c r="T10" s="20"/>
      <c r="U10" s="20"/>
      <c r="V10" s="20"/>
      <c r="W10" s="19"/>
      <c r="X10" s="19"/>
      <c r="Y10" s="19"/>
      <c r="Z10" s="19"/>
      <c r="AA10" s="19"/>
      <c r="AB10" s="19"/>
      <c r="AC10" s="19"/>
      <c r="AD10" s="19"/>
      <c r="AE10" s="19"/>
      <c r="AF10" s="19"/>
      <c r="AG10" s="19"/>
      <c r="AH10" s="19"/>
      <c r="AI10" s="19"/>
      <c r="AJ10" s="20"/>
      <c r="AK10" s="20"/>
      <c r="AL10" s="20"/>
      <c r="AM10" s="21"/>
      <c r="AN10" s="21"/>
      <c r="AO10" s="21"/>
      <c r="AP10" s="21"/>
      <c r="AQ10" s="21"/>
      <c r="AR10" s="21"/>
      <c r="AS10" s="22"/>
      <c r="AT10" s="22"/>
      <c r="AU10" s="19"/>
      <c r="AV10" s="19"/>
      <c r="AW10" s="19"/>
      <c r="AY10" s="19"/>
      <c r="AZ10" s="19"/>
      <c r="BA10" s="19"/>
    </row>
    <row r="11" spans="1:55" x14ac:dyDescent="0.25">
      <c r="A11" s="7">
        <v>9</v>
      </c>
      <c r="B11" s="12"/>
      <c r="C11" s="13"/>
      <c r="D11" s="12"/>
      <c r="E11" s="13"/>
      <c r="F11" s="13"/>
      <c r="G11" s="13"/>
      <c r="H11" s="13"/>
      <c r="I11" s="42"/>
      <c r="J11" s="42"/>
      <c r="L11" s="19"/>
      <c r="M11" s="18"/>
      <c r="N11" s="18"/>
      <c r="O11" s="19"/>
      <c r="P11" s="20"/>
      <c r="Q11" s="19"/>
      <c r="R11" s="19"/>
      <c r="S11" s="20"/>
      <c r="T11" s="20"/>
      <c r="U11" s="20"/>
      <c r="V11" s="20"/>
      <c r="W11" s="19"/>
      <c r="X11" s="19"/>
      <c r="Y11" s="19"/>
      <c r="Z11" s="19"/>
      <c r="AA11" s="19"/>
      <c r="AB11" s="19"/>
      <c r="AC11" s="19"/>
      <c r="AD11" s="19"/>
      <c r="AE11" s="19"/>
      <c r="AF11" s="19"/>
      <c r="AG11" s="19"/>
      <c r="AH11" s="19"/>
      <c r="AI11" s="19"/>
      <c r="AJ11" s="20"/>
      <c r="AK11" s="20"/>
      <c r="AL11" s="20"/>
      <c r="AM11" s="21"/>
      <c r="AN11" s="21"/>
      <c r="AO11" s="21"/>
      <c r="AP11" s="21"/>
      <c r="AQ11" s="21"/>
      <c r="AR11" s="21"/>
      <c r="AS11" s="22"/>
      <c r="AT11" s="22"/>
      <c r="AU11" s="19"/>
      <c r="AV11" s="19"/>
      <c r="AW11" s="19"/>
      <c r="AY11" s="19"/>
      <c r="AZ11" s="19"/>
      <c r="BA11" s="19"/>
    </row>
    <row r="12" spans="1:55" x14ac:dyDescent="0.25">
      <c r="A12" s="7">
        <v>10</v>
      </c>
      <c r="B12" s="12"/>
      <c r="C12" s="13"/>
      <c r="D12" s="12"/>
      <c r="E12" s="13"/>
      <c r="F12" s="13"/>
      <c r="G12" s="13"/>
      <c r="H12" s="13"/>
      <c r="I12" s="42"/>
      <c r="J12" s="42"/>
      <c r="L12" s="19"/>
      <c r="M12" s="18"/>
      <c r="N12" s="18"/>
      <c r="O12" s="19"/>
      <c r="P12" s="20"/>
      <c r="Q12" s="19"/>
      <c r="R12" s="19"/>
      <c r="S12" s="20"/>
      <c r="T12" s="20"/>
      <c r="U12" s="20"/>
      <c r="V12" s="20"/>
      <c r="W12" s="19"/>
      <c r="X12" s="19"/>
      <c r="Y12" s="19"/>
      <c r="Z12" s="19"/>
      <c r="AA12" s="19"/>
      <c r="AB12" s="19"/>
      <c r="AC12" s="19"/>
      <c r="AD12" s="19"/>
      <c r="AE12" s="19"/>
      <c r="AF12" s="19"/>
      <c r="AG12" s="19"/>
      <c r="AH12" s="19"/>
      <c r="AI12" s="19"/>
      <c r="AJ12" s="20"/>
      <c r="AK12" s="20"/>
      <c r="AL12" s="20"/>
      <c r="AM12" s="21"/>
      <c r="AN12" s="21"/>
      <c r="AO12" s="21"/>
      <c r="AP12" s="21"/>
      <c r="AQ12" s="21"/>
      <c r="AR12" s="21"/>
      <c r="AS12" s="22"/>
      <c r="AT12" s="22"/>
      <c r="AU12" s="19"/>
      <c r="AV12" s="19"/>
      <c r="AW12" s="19"/>
      <c r="AY12" s="19"/>
      <c r="AZ12" s="19"/>
      <c r="BA12" s="19"/>
    </row>
    <row r="13" spans="1:55" x14ac:dyDescent="0.25">
      <c r="B13" s="5"/>
      <c r="C13" s="6"/>
      <c r="D13" s="5"/>
      <c r="E13" s="6"/>
      <c r="F13" s="6"/>
      <c r="L13" s="19"/>
      <c r="M13" s="18"/>
      <c r="N13" s="18"/>
      <c r="O13" s="19"/>
      <c r="P13" s="20"/>
      <c r="Q13" s="19"/>
      <c r="R13" s="19"/>
      <c r="S13" s="20"/>
      <c r="T13" s="20"/>
      <c r="U13" s="20"/>
      <c r="V13" s="20"/>
      <c r="W13" s="19"/>
      <c r="X13" s="19"/>
      <c r="Y13" s="19"/>
      <c r="Z13" s="19"/>
      <c r="AA13" s="19"/>
      <c r="AB13" s="19"/>
      <c r="AC13" s="19"/>
      <c r="AD13" s="19"/>
      <c r="AE13" s="19"/>
      <c r="AF13" s="19"/>
      <c r="AG13" s="19"/>
      <c r="AH13" s="19"/>
      <c r="AI13" s="19"/>
      <c r="AJ13" s="20"/>
      <c r="AK13" s="20"/>
      <c r="AL13" s="20"/>
      <c r="AM13" s="21"/>
      <c r="AN13" s="21"/>
      <c r="AO13" s="21"/>
      <c r="AP13" s="21"/>
      <c r="AQ13" s="21"/>
      <c r="AR13" s="21"/>
      <c r="AS13" s="22"/>
      <c r="AT13" s="22"/>
      <c r="AU13" s="19"/>
      <c r="AV13" s="19"/>
      <c r="AW13" s="19"/>
      <c r="AY13" s="19"/>
      <c r="AZ13" s="19"/>
      <c r="BA13" s="19"/>
    </row>
    <row r="14" spans="1:55" x14ac:dyDescent="0.25">
      <c r="I14" s="42"/>
      <c r="J14" s="42"/>
      <c r="L14" s="19"/>
      <c r="M14" s="18"/>
      <c r="N14" s="18"/>
      <c r="O14" s="19"/>
      <c r="P14" s="20"/>
      <c r="Q14" s="19"/>
      <c r="R14" s="19"/>
      <c r="S14" s="20"/>
      <c r="T14" s="20"/>
      <c r="U14" s="20"/>
      <c r="V14" s="20"/>
      <c r="W14" s="19"/>
      <c r="X14" s="19"/>
      <c r="Y14" s="19"/>
      <c r="Z14" s="19"/>
      <c r="AA14" s="19"/>
      <c r="AB14" s="19"/>
      <c r="AC14" s="19"/>
      <c r="AD14" s="19"/>
      <c r="AE14" s="19"/>
      <c r="AF14" s="19"/>
      <c r="AG14" s="19"/>
      <c r="AH14" s="19"/>
      <c r="AI14" s="19"/>
      <c r="AJ14" s="20"/>
      <c r="AK14" s="20"/>
      <c r="AL14" s="20"/>
      <c r="AM14" s="21"/>
      <c r="AN14" s="21"/>
      <c r="AO14" s="21"/>
      <c r="AP14" s="21"/>
      <c r="AQ14" s="21"/>
      <c r="AR14" s="21"/>
      <c r="AS14" s="22"/>
      <c r="AT14" s="22"/>
      <c r="AU14" s="19"/>
      <c r="AV14" s="19"/>
      <c r="AW14" s="19"/>
      <c r="AY14" s="19"/>
      <c r="AZ14" s="19"/>
      <c r="BA14" s="19"/>
    </row>
    <row r="15" spans="1:55" x14ac:dyDescent="0.25">
      <c r="B15" s="47" t="s">
        <v>11</v>
      </c>
      <c r="C15" s="47"/>
      <c r="D15" s="47"/>
      <c r="I15" s="42"/>
      <c r="J15" s="42"/>
      <c r="L15" s="19"/>
      <c r="M15" s="18"/>
      <c r="N15" s="18"/>
      <c r="O15" s="19"/>
      <c r="P15" s="20"/>
      <c r="Q15" s="19"/>
      <c r="R15" s="19"/>
      <c r="S15" s="20"/>
      <c r="T15" s="20"/>
      <c r="U15" s="20"/>
      <c r="V15" s="20"/>
      <c r="W15" s="19"/>
      <c r="X15" s="19"/>
      <c r="Y15" s="19"/>
      <c r="Z15" s="19"/>
      <c r="AA15" s="19"/>
      <c r="AB15" s="19"/>
      <c r="AC15" s="19"/>
      <c r="AD15" s="19"/>
      <c r="AE15" s="19"/>
      <c r="AF15" s="19"/>
      <c r="AG15" s="19"/>
      <c r="AH15" s="19"/>
      <c r="AI15" s="19"/>
      <c r="AJ15" s="20"/>
      <c r="AK15" s="20"/>
      <c r="AL15" s="20"/>
      <c r="AM15" s="21"/>
      <c r="AN15" s="21"/>
      <c r="AO15" s="21"/>
      <c r="AP15" s="21"/>
      <c r="AQ15" s="21"/>
      <c r="AR15" s="21"/>
      <c r="AS15" s="22"/>
      <c r="AT15" s="22"/>
      <c r="AU15" s="19"/>
      <c r="AV15" s="19"/>
      <c r="AW15" s="19"/>
      <c r="AY15" s="19"/>
      <c r="AZ15" s="19"/>
      <c r="BA15" s="19"/>
    </row>
    <row r="16" spans="1:55" x14ac:dyDescent="0.25">
      <c r="A16" s="7" t="s">
        <v>9</v>
      </c>
      <c r="B16" s="11" t="s">
        <v>4</v>
      </c>
      <c r="C16" s="7" t="s">
        <v>3</v>
      </c>
      <c r="D16" s="11" t="s">
        <v>8</v>
      </c>
      <c r="F16" s="23" t="s">
        <v>18</v>
      </c>
      <c r="G16" s="13">
        <v>36</v>
      </c>
      <c r="I16" s="42"/>
      <c r="J16" s="42"/>
      <c r="L16" s="19"/>
      <c r="M16" s="18"/>
      <c r="N16" s="18"/>
      <c r="O16" s="19"/>
      <c r="P16" s="20"/>
      <c r="Q16" s="19"/>
      <c r="R16" s="19"/>
      <c r="S16" s="20"/>
      <c r="T16" s="20"/>
      <c r="U16" s="20"/>
      <c r="V16" s="20"/>
      <c r="W16" s="19"/>
      <c r="X16" s="19"/>
      <c r="Y16" s="19"/>
      <c r="Z16" s="19"/>
      <c r="AA16" s="19"/>
      <c r="AB16" s="19"/>
      <c r="AC16" s="19"/>
      <c r="AD16" s="19"/>
      <c r="AE16" s="19"/>
      <c r="AF16" s="19"/>
      <c r="AG16" s="19"/>
      <c r="AH16" s="19"/>
      <c r="AI16" s="19"/>
      <c r="AJ16" s="20"/>
      <c r="AK16" s="20"/>
      <c r="AL16" s="20"/>
      <c r="AM16" s="21"/>
      <c r="AN16" s="21"/>
      <c r="AO16" s="21"/>
      <c r="AP16" s="21"/>
      <c r="AQ16" s="21"/>
      <c r="AR16" s="21"/>
      <c r="AS16" s="22"/>
      <c r="AT16" s="22"/>
      <c r="AU16" s="19"/>
      <c r="AV16" s="19"/>
      <c r="AW16" s="19"/>
      <c r="AY16" s="19"/>
      <c r="AZ16" s="19"/>
      <c r="BA16" s="19"/>
    </row>
    <row r="17" spans="1:53" x14ac:dyDescent="0.25">
      <c r="A17" s="7">
        <v>1</v>
      </c>
      <c r="B17" s="14" t="s">
        <v>85</v>
      </c>
      <c r="C17" s="13">
        <v>1</v>
      </c>
      <c r="D17" s="17" t="s">
        <v>29</v>
      </c>
      <c r="I17" s="42"/>
      <c r="J17" s="42"/>
      <c r="L17" s="19"/>
      <c r="M17" s="18"/>
      <c r="N17" s="18"/>
      <c r="O17" s="19"/>
      <c r="P17" s="20"/>
      <c r="Q17" s="19"/>
      <c r="R17" s="19"/>
      <c r="S17" s="20"/>
      <c r="T17" s="20"/>
      <c r="U17" s="20"/>
      <c r="V17" s="20"/>
      <c r="W17" s="19"/>
      <c r="X17" s="19"/>
      <c r="Y17" s="19"/>
      <c r="Z17" s="19"/>
      <c r="AA17" s="19"/>
      <c r="AB17" s="19"/>
      <c r="AC17" s="19"/>
      <c r="AD17" s="19"/>
      <c r="AE17" s="19"/>
      <c r="AF17" s="19"/>
      <c r="AG17" s="19"/>
      <c r="AH17" s="19"/>
      <c r="AI17" s="19"/>
      <c r="AJ17" s="20"/>
      <c r="AK17" s="20"/>
      <c r="AL17" s="20"/>
      <c r="AM17" s="21"/>
      <c r="AN17" s="21"/>
      <c r="AO17" s="21"/>
      <c r="AP17" s="21"/>
      <c r="AQ17" s="21"/>
      <c r="AR17" s="21"/>
      <c r="AS17" s="22"/>
      <c r="AT17" s="22"/>
      <c r="AU17" s="19"/>
      <c r="AV17" s="19"/>
      <c r="AW17" s="19"/>
      <c r="AY17" s="19"/>
      <c r="AZ17" s="19"/>
      <c r="BA17" s="19"/>
    </row>
    <row r="18" spans="1:53" x14ac:dyDescent="0.25">
      <c r="A18" s="7">
        <v>2</v>
      </c>
      <c r="B18" s="14" t="s">
        <v>87</v>
      </c>
      <c r="C18" s="13">
        <v>3</v>
      </c>
      <c r="D18" s="17" t="s">
        <v>88</v>
      </c>
      <c r="I18" s="4"/>
      <c r="N18"/>
      <c r="P18"/>
      <c r="R18"/>
      <c r="V18"/>
      <c r="AI18"/>
      <c r="AK18"/>
      <c r="AM18"/>
      <c r="AO18"/>
      <c r="AQ18"/>
      <c r="AT18" s="3"/>
    </row>
    <row r="19" spans="1:53" x14ac:dyDescent="0.25">
      <c r="A19" s="7">
        <v>3</v>
      </c>
      <c r="B19" s="12" t="s">
        <v>114</v>
      </c>
      <c r="C19" s="13">
        <v>11</v>
      </c>
      <c r="D19" s="17">
        <v>1</v>
      </c>
      <c r="I19" s="3"/>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R19" s="4"/>
    </row>
    <row r="20" spans="1:53" x14ac:dyDescent="0.25">
      <c r="A20" s="7">
        <v>4</v>
      </c>
      <c r="B20" s="12"/>
      <c r="C20" s="13"/>
      <c r="D20" s="17"/>
      <c r="I20" s="3"/>
      <c r="AM20" s="4"/>
      <c r="AN20" s="4"/>
      <c r="AO20" s="4"/>
      <c r="AP20" s="4"/>
      <c r="AR20" s="4"/>
    </row>
    <row r="21" spans="1:53" x14ac:dyDescent="0.25">
      <c r="A21" s="7">
        <v>5</v>
      </c>
      <c r="B21" s="12"/>
      <c r="C21" s="13"/>
      <c r="D21" s="17"/>
      <c r="Q21" s="4"/>
      <c r="R21" s="4"/>
      <c r="W21" s="4"/>
      <c r="X21" s="4"/>
      <c r="Y21" s="4"/>
      <c r="Z21" s="4"/>
      <c r="AA21" s="4"/>
      <c r="AB21" s="4"/>
      <c r="AC21" s="4"/>
      <c r="AD21" s="4"/>
      <c r="AE21" s="4"/>
      <c r="AF21" s="4"/>
      <c r="AG21" s="4"/>
      <c r="AH21" s="4"/>
      <c r="AI21" s="4"/>
      <c r="AM21" s="4"/>
      <c r="AN21" s="4"/>
      <c r="AO21" s="4"/>
      <c r="AP21" s="4"/>
      <c r="AR21" s="4"/>
    </row>
    <row r="22" spans="1:53" x14ac:dyDescent="0.25">
      <c r="A22" s="7">
        <v>6</v>
      </c>
      <c r="B22" s="12"/>
      <c r="C22" s="13"/>
      <c r="D22" s="17"/>
      <c r="Q22" s="4"/>
      <c r="R22" s="4"/>
      <c r="W22" s="4"/>
      <c r="X22" s="4"/>
      <c r="Y22" s="4"/>
      <c r="Z22" s="4"/>
      <c r="AA22" s="4"/>
      <c r="AB22" s="4"/>
      <c r="AC22" s="4"/>
      <c r="AD22" s="4"/>
      <c r="AE22" s="4"/>
      <c r="AF22" s="4"/>
      <c r="AG22" s="4"/>
      <c r="AH22" s="4"/>
      <c r="AI22" s="4"/>
      <c r="AM22" s="4"/>
      <c r="AN22" s="4"/>
      <c r="AO22" s="4"/>
      <c r="AP22" s="4"/>
      <c r="AR22" s="4"/>
    </row>
    <row r="23" spans="1:53" x14ac:dyDescent="0.25">
      <c r="A23" s="7">
        <v>7</v>
      </c>
      <c r="B23" s="12"/>
      <c r="C23" s="13"/>
      <c r="D23" s="17"/>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R23" s="4"/>
    </row>
    <row r="24" spans="1:53" x14ac:dyDescent="0.25">
      <c r="A24" s="7">
        <v>8</v>
      </c>
      <c r="B24" s="12"/>
      <c r="C24" s="13"/>
      <c r="D24" s="17"/>
      <c r="F24" s="32" t="s">
        <v>59</v>
      </c>
      <c r="G24" s="33"/>
      <c r="H24" s="2" t="s">
        <v>61</v>
      </c>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R24" s="4"/>
    </row>
    <row r="25" spans="1:53" x14ac:dyDescent="0.25">
      <c r="A25" s="7">
        <v>9</v>
      </c>
      <c r="B25" s="12"/>
      <c r="C25" s="13"/>
      <c r="D25" s="12"/>
      <c r="F25" s="32" t="s">
        <v>60</v>
      </c>
      <c r="G25" s="13"/>
      <c r="H25" s="2" t="s">
        <v>62</v>
      </c>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R25" s="4"/>
    </row>
    <row r="26" spans="1:53" x14ac:dyDescent="0.25">
      <c r="A26" s="7">
        <v>10</v>
      </c>
      <c r="B26" s="12"/>
      <c r="C26" s="13"/>
      <c r="D26" s="12"/>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R26" s="4"/>
    </row>
    <row r="27" spans="1:53" x14ac:dyDescent="0.25">
      <c r="A27" s="7">
        <v>11</v>
      </c>
      <c r="B27" s="12"/>
      <c r="C27" s="13"/>
      <c r="D27" s="12"/>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R27" s="4"/>
    </row>
    <row r="28" spans="1:53" x14ac:dyDescent="0.25">
      <c r="A28" s="7">
        <v>12</v>
      </c>
      <c r="B28" s="12"/>
      <c r="C28" s="13"/>
      <c r="D28" s="17"/>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R28" s="4"/>
    </row>
    <row r="29" spans="1:53" x14ac:dyDescent="0.25">
      <c r="A29" s="7">
        <v>13</v>
      </c>
      <c r="B29" s="12"/>
      <c r="C29" s="13"/>
      <c r="D29" s="12"/>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R29" s="4"/>
    </row>
    <row r="30" spans="1:53" x14ac:dyDescent="0.25">
      <c r="A30" s="7">
        <v>14</v>
      </c>
      <c r="B30" s="12"/>
      <c r="C30" s="13"/>
      <c r="D30" s="12"/>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R30" s="4"/>
    </row>
    <row r="31" spans="1:53" x14ac:dyDescent="0.25">
      <c r="A31" s="7">
        <v>15</v>
      </c>
      <c r="B31" s="12"/>
      <c r="C31" s="13"/>
      <c r="D31" s="17"/>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R31" s="4"/>
    </row>
    <row r="32" spans="1:53" ht="15.75" thickBot="1" x14ac:dyDescent="0.3">
      <c r="A32" s="7">
        <v>16</v>
      </c>
      <c r="B32" s="12"/>
      <c r="C32" s="13"/>
      <c r="D32" s="12"/>
      <c r="G32" s="39">
        <v>1451000136</v>
      </c>
      <c r="H32" s="40" t="s">
        <v>75</v>
      </c>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R32" s="4"/>
    </row>
    <row r="33" spans="1:44" ht="15.75" thickBot="1" x14ac:dyDescent="0.3">
      <c r="A33" s="7">
        <v>17</v>
      </c>
      <c r="B33" s="12"/>
      <c r="C33" s="13"/>
      <c r="D33" s="12"/>
      <c r="G33" s="39">
        <v>1330180077</v>
      </c>
      <c r="H33" s="40" t="s">
        <v>76</v>
      </c>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R33" s="4"/>
    </row>
    <row r="34" spans="1:44" ht="15.75" thickBot="1" x14ac:dyDescent="0.3">
      <c r="A34" s="7">
        <v>18</v>
      </c>
      <c r="B34" s="12"/>
      <c r="C34" s="13"/>
      <c r="D34" s="12"/>
      <c r="G34" s="39">
        <v>1330180074</v>
      </c>
      <c r="H34" s="40">
        <f>22</f>
        <v>22</v>
      </c>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R34" s="4"/>
    </row>
    <row r="35" spans="1:44" ht="15.75" thickBot="1" x14ac:dyDescent="0.3">
      <c r="A35" s="7">
        <v>19</v>
      </c>
      <c r="B35" s="12"/>
      <c r="C35" s="13"/>
      <c r="D35" s="12"/>
      <c r="G35" s="39">
        <v>1330180030</v>
      </c>
      <c r="H35" s="40">
        <f>1500</f>
        <v>1500</v>
      </c>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R35" s="4"/>
    </row>
    <row r="36" spans="1:44" ht="15.75" thickBot="1" x14ac:dyDescent="0.3">
      <c r="A36" s="7">
        <v>20</v>
      </c>
      <c r="B36" s="12"/>
      <c r="C36" s="13"/>
      <c r="D36" s="12"/>
      <c r="G36" s="39">
        <v>1330170084</v>
      </c>
      <c r="H36" s="40" t="s">
        <v>77</v>
      </c>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R36" s="4"/>
    </row>
    <row r="37" spans="1:44" ht="15.75" thickBot="1" x14ac:dyDescent="0.3">
      <c r="A37" s="7">
        <v>21</v>
      </c>
      <c r="B37" s="12"/>
      <c r="C37" s="13"/>
      <c r="D37" s="12"/>
      <c r="G37" s="39">
        <v>1330170085</v>
      </c>
      <c r="H37" s="40" t="s">
        <v>78</v>
      </c>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R37" s="4"/>
    </row>
    <row r="38" spans="1:44" ht="15.75" thickBot="1" x14ac:dyDescent="0.3">
      <c r="A38" s="7">
        <v>22</v>
      </c>
      <c r="B38" s="12"/>
      <c r="C38" s="13"/>
      <c r="D38" s="12"/>
      <c r="G38" s="39">
        <v>1330180025</v>
      </c>
      <c r="H38" s="41" t="s">
        <v>79</v>
      </c>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R38" s="4"/>
    </row>
    <row r="39" spans="1:44" ht="15.75" thickBot="1" x14ac:dyDescent="0.3">
      <c r="A39" s="7">
        <v>23</v>
      </c>
      <c r="B39" s="12"/>
      <c r="C39" s="13"/>
      <c r="D39" s="12"/>
      <c r="G39" s="39">
        <v>1330180028</v>
      </c>
      <c r="H39" s="41">
        <f>190</f>
        <v>190</v>
      </c>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R39" s="4"/>
    </row>
    <row r="40" spans="1:44" ht="15.75" thickBot="1" x14ac:dyDescent="0.3">
      <c r="A40" s="7">
        <v>24</v>
      </c>
      <c r="B40" s="12"/>
      <c r="C40" s="13"/>
      <c r="D40" s="12"/>
      <c r="G40" s="39">
        <v>1330180068</v>
      </c>
      <c r="H40" s="41" t="s">
        <v>80</v>
      </c>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R40" s="4"/>
    </row>
    <row r="41" spans="1:44" x14ac:dyDescent="0.25">
      <c r="A41" s="7">
        <v>25</v>
      </c>
      <c r="B41" s="12"/>
      <c r="C41" s="13"/>
      <c r="D41" s="12"/>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R41" s="4"/>
    </row>
    <row r="42" spans="1:44" x14ac:dyDescent="0.25">
      <c r="A42" s="7">
        <v>26</v>
      </c>
      <c r="B42" s="12"/>
      <c r="C42" s="13"/>
      <c r="D42" s="12"/>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R42" s="4"/>
    </row>
    <row r="43" spans="1:44" x14ac:dyDescent="0.25">
      <c r="A43" s="7">
        <v>27</v>
      </c>
      <c r="B43" s="12"/>
      <c r="C43" s="13"/>
      <c r="D43" s="12"/>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R43" s="4"/>
    </row>
    <row r="44" spans="1:44" x14ac:dyDescent="0.25">
      <c r="A44" s="7">
        <v>28</v>
      </c>
      <c r="B44" s="12"/>
      <c r="C44" s="13"/>
      <c r="D44" s="12"/>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R44" s="4"/>
    </row>
    <row r="45" spans="1:44" x14ac:dyDescent="0.25">
      <c r="A45" s="7">
        <v>29</v>
      </c>
      <c r="B45" s="12"/>
      <c r="C45" s="13"/>
      <c r="D45" s="12"/>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R45" s="4"/>
    </row>
    <row r="46" spans="1:44" x14ac:dyDescent="0.25">
      <c r="A46" s="7">
        <v>30</v>
      </c>
      <c r="B46" s="12"/>
      <c r="C46" s="13"/>
      <c r="D46" s="12"/>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R46" s="4"/>
    </row>
    <row r="47" spans="1:44" x14ac:dyDescent="0.25">
      <c r="A47" s="7">
        <v>31</v>
      </c>
      <c r="B47" s="12"/>
      <c r="C47" s="13"/>
      <c r="D47" s="12"/>
    </row>
    <row r="48" spans="1:44"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6" t="s">
        <v>89</v>
      </c>
      <c r="B70" s="27" t="s">
        <v>91</v>
      </c>
    </row>
    <row r="71" spans="1:4" x14ac:dyDescent="0.25">
      <c r="A71" s="26" t="s">
        <v>90</v>
      </c>
      <c r="B71" s="43" t="s">
        <v>92</v>
      </c>
    </row>
    <row r="72" spans="1:4" x14ac:dyDescent="0.25">
      <c r="A72" s="26"/>
      <c r="B72" s="43" t="s">
        <v>88</v>
      </c>
    </row>
    <row r="73" spans="1:4" x14ac:dyDescent="0.25">
      <c r="A73" s="26"/>
      <c r="B73" s="43" t="s">
        <v>93</v>
      </c>
    </row>
    <row r="74" spans="1:4" x14ac:dyDescent="0.25">
      <c r="A74" s="26"/>
      <c r="B74" s="27" t="s">
        <v>91</v>
      </c>
    </row>
    <row r="75" spans="1:4" x14ac:dyDescent="0.25">
      <c r="A75" s="26"/>
      <c r="B75" s="27" t="s">
        <v>92</v>
      </c>
    </row>
    <row r="76" spans="1:4" x14ac:dyDescent="0.25">
      <c r="A76" s="26"/>
      <c r="B76" s="27" t="s">
        <v>88</v>
      </c>
    </row>
    <row r="77" spans="1:4" x14ac:dyDescent="0.25">
      <c r="A77" s="26"/>
      <c r="B77" s="27"/>
    </row>
    <row r="78" spans="1:4" x14ac:dyDescent="0.25">
      <c r="A78" s="26"/>
      <c r="B78" s="27"/>
    </row>
    <row r="79" spans="1:4" x14ac:dyDescent="0.25">
      <c r="A79" s="26"/>
      <c r="B79" s="27"/>
    </row>
  </sheetData>
  <mergeCells count="2">
    <mergeCell ref="B15:D15"/>
    <mergeCell ref="B1:F1"/>
  </mergeCells>
  <dataValidations count="2">
    <dataValidation type="list" allowBlank="1" showInputMessage="1" showErrorMessage="1" sqref="M14:M17 M4:M12">
      <formula1>$A$70:$A$85</formula1>
    </dataValidation>
    <dataValidation type="list" allowBlank="1" showInputMessage="1" showErrorMessage="1" sqref="N14:N17 N10:N12">
      <formula1>$B$70:$B$85</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J1002"/>
  <sheetViews>
    <sheetView workbookViewId="0">
      <selection activeCell="I25" sqref="I25"/>
    </sheetView>
  </sheetViews>
  <sheetFormatPr defaultRowHeight="15" x14ac:dyDescent="0.25"/>
  <cols>
    <col min="1" max="1" width="11" bestFit="1" customWidth="1"/>
    <col min="2" max="2" width="2" bestFit="1" customWidth="1"/>
    <col min="3" max="3" width="5" bestFit="1" customWidth="1"/>
    <col min="4" max="4" width="7" bestFit="1" customWidth="1"/>
    <col min="5" max="5" width="5.42578125" customWidth="1"/>
    <col min="6" max="6" width="3" bestFit="1" customWidth="1"/>
    <col min="7" max="7" width="10.7109375" bestFit="1" customWidth="1"/>
    <col min="8" max="8" width="8.140625" bestFit="1" customWidth="1"/>
    <col min="9" max="9" width="4" bestFit="1" customWidth="1"/>
    <col min="10" max="10" width="3" bestFit="1" customWidth="1"/>
    <col min="11" max="11" width="10.7109375" bestFit="1" customWidth="1"/>
    <col min="12" max="12" width="8.140625" bestFit="1" customWidth="1"/>
    <col min="13" max="13" width="6" bestFit="1" customWidth="1"/>
    <col min="14" max="15" width="3" bestFit="1"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s>
  <sheetData>
    <row r="1" spans="1:36"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36" x14ac:dyDescent="0.25">
      <c r="A2" s="1"/>
      <c r="B2" s="1"/>
      <c r="C2" s="1"/>
      <c r="D2" s="1"/>
      <c r="E2" s="1"/>
      <c r="F2" s="1"/>
      <c r="G2" s="1"/>
      <c r="H2" s="1"/>
      <c r="I2" s="1"/>
      <c r="J2" s="1"/>
      <c r="K2" s="1"/>
      <c r="L2" s="1"/>
      <c r="M2" s="1"/>
      <c r="N2" s="1"/>
      <c r="O2" s="1"/>
      <c r="P2" s="1"/>
      <c r="Q2" s="1"/>
      <c r="R2" s="1"/>
      <c r="S2" s="1"/>
      <c r="T2" s="1"/>
      <c r="U2" s="1"/>
    </row>
    <row r="3" spans="1:36" x14ac:dyDescent="0.25">
      <c r="A3" s="1" t="s">
        <v>29</v>
      </c>
      <c r="B3" s="1" t="s">
        <v>107</v>
      </c>
      <c r="C3" s="1" t="s">
        <v>88</v>
      </c>
      <c r="D3" s="1" t="s">
        <v>89</v>
      </c>
      <c r="E3" s="1" t="s">
        <v>96</v>
      </c>
      <c r="F3" s="1" t="s">
        <v>91</v>
      </c>
      <c r="G3" s="1" t="s">
        <v>88</v>
      </c>
      <c r="H3" s="1" t="s">
        <v>43</v>
      </c>
      <c r="I3" s="1" t="s">
        <v>173</v>
      </c>
      <c r="J3" s="1" t="s">
        <v>174</v>
      </c>
      <c r="K3" s="1" t="s">
        <v>152</v>
      </c>
      <c r="L3" s="1" t="s">
        <v>116</v>
      </c>
      <c r="M3" s="1" t="s">
        <v>119</v>
      </c>
      <c r="N3" s="1" t="s">
        <v>104</v>
      </c>
      <c r="O3" s="1" t="s">
        <v>122</v>
      </c>
      <c r="P3" s="1" t="s">
        <v>124</v>
      </c>
      <c r="Q3" s="1" t="s">
        <v>122</v>
      </c>
      <c r="R3" s="1" t="s">
        <v>127</v>
      </c>
      <c r="S3" s="1" t="s">
        <v>122</v>
      </c>
      <c r="T3" s="1" t="s">
        <v>122</v>
      </c>
      <c r="U3" s="1" t="s">
        <v>122</v>
      </c>
      <c r="V3" s="1" t="s">
        <v>127</v>
      </c>
      <c r="W3" s="45" t="s">
        <v>122</v>
      </c>
      <c r="X3" s="45" t="s">
        <v>136</v>
      </c>
      <c r="Y3" s="1" t="s">
        <v>137</v>
      </c>
      <c r="Z3" s="1" t="s">
        <v>39</v>
      </c>
      <c r="AA3" s="1" t="s">
        <v>178</v>
      </c>
      <c r="AB3" s="1" t="s">
        <v>152</v>
      </c>
      <c r="AC3" s="1" t="s">
        <v>153</v>
      </c>
      <c r="AD3" s="1" t="s">
        <v>153</v>
      </c>
      <c r="AE3" s="1" t="s">
        <v>154</v>
      </c>
      <c r="AF3" s="1" t="s">
        <v>155</v>
      </c>
      <c r="AG3" s="1" t="s">
        <v>156</v>
      </c>
      <c r="AH3" s="1" t="s">
        <v>157</v>
      </c>
      <c r="AI3" s="1" t="s">
        <v>152</v>
      </c>
      <c r="AJ3" s="1" t="s">
        <v>152</v>
      </c>
    </row>
    <row r="4" spans="1:36" x14ac:dyDescent="0.25">
      <c r="A4" s="1" t="s">
        <v>29</v>
      </c>
      <c r="B4" s="1" t="s">
        <v>108</v>
      </c>
      <c r="C4" s="1" t="s">
        <v>88</v>
      </c>
      <c r="D4" s="1" t="s">
        <v>89</v>
      </c>
      <c r="E4" s="1" t="s">
        <v>96</v>
      </c>
      <c r="F4" s="1" t="s">
        <v>91</v>
      </c>
      <c r="G4" s="1" t="s">
        <v>88</v>
      </c>
      <c r="H4" s="1" t="s">
        <v>43</v>
      </c>
      <c r="I4" s="1" t="s">
        <v>174</v>
      </c>
      <c r="J4" s="1" t="s">
        <v>175</v>
      </c>
      <c r="K4" s="1" t="s">
        <v>152</v>
      </c>
      <c r="L4" s="1" t="s">
        <v>117</v>
      </c>
      <c r="M4" s="1" t="s">
        <v>119</v>
      </c>
      <c r="N4" s="1" t="s">
        <v>104</v>
      </c>
      <c r="O4" s="1" t="s">
        <v>122</v>
      </c>
      <c r="P4" s="1" t="s">
        <v>124</v>
      </c>
      <c r="Q4" s="1" t="s">
        <v>122</v>
      </c>
      <c r="R4" s="1" t="s">
        <v>127</v>
      </c>
      <c r="S4" s="1" t="s">
        <v>122</v>
      </c>
      <c r="T4" s="1" t="s">
        <v>122</v>
      </c>
      <c r="U4" s="1" t="s">
        <v>122</v>
      </c>
      <c r="V4" s="1" t="s">
        <v>127</v>
      </c>
      <c r="W4" s="1" t="s">
        <v>122</v>
      </c>
      <c r="X4" s="45" t="s">
        <v>139</v>
      </c>
      <c r="Y4" s="1" t="s">
        <v>140</v>
      </c>
      <c r="Z4" s="1" t="s">
        <v>39</v>
      </c>
      <c r="AA4" s="1" t="s">
        <v>178</v>
      </c>
      <c r="AB4" s="1" t="s">
        <v>152</v>
      </c>
      <c r="AC4" s="1" t="s">
        <v>153</v>
      </c>
      <c r="AD4" s="1" t="s">
        <v>153</v>
      </c>
      <c r="AE4" s="1" t="s">
        <v>158</v>
      </c>
      <c r="AF4" s="1" t="s">
        <v>159</v>
      </c>
      <c r="AG4" s="1" t="s">
        <v>156</v>
      </c>
      <c r="AH4" s="1" t="s">
        <v>160</v>
      </c>
      <c r="AI4" s="1" t="s">
        <v>152</v>
      </c>
      <c r="AJ4" s="1" t="s">
        <v>152</v>
      </c>
    </row>
    <row r="5" spans="1:36" x14ac:dyDescent="0.25">
      <c r="A5" s="1" t="s">
        <v>29</v>
      </c>
      <c r="B5" s="1" t="s">
        <v>109</v>
      </c>
      <c r="C5" s="1" t="s">
        <v>88</v>
      </c>
      <c r="D5" s="1" t="s">
        <v>89</v>
      </c>
      <c r="E5" s="1" t="s">
        <v>96</v>
      </c>
      <c r="F5" s="1" t="s">
        <v>91</v>
      </c>
      <c r="G5" s="1" t="s">
        <v>88</v>
      </c>
      <c r="H5" s="1" t="s">
        <v>43</v>
      </c>
      <c r="I5" s="1" t="s">
        <v>173</v>
      </c>
      <c r="J5" s="1" t="s">
        <v>174</v>
      </c>
      <c r="K5" s="1" t="s">
        <v>152</v>
      </c>
      <c r="L5" s="1" t="s">
        <v>117</v>
      </c>
      <c r="M5" s="1" t="s">
        <v>119</v>
      </c>
      <c r="N5" s="1" t="s">
        <v>104</v>
      </c>
      <c r="O5" s="1" t="s">
        <v>122</v>
      </c>
      <c r="P5" s="1" t="s">
        <v>124</v>
      </c>
      <c r="Q5" s="1" t="s">
        <v>122</v>
      </c>
      <c r="R5" s="1" t="s">
        <v>127</v>
      </c>
      <c r="S5" s="1" t="s">
        <v>122</v>
      </c>
      <c r="T5" s="1" t="s">
        <v>122</v>
      </c>
      <c r="U5" s="1" t="s">
        <v>122</v>
      </c>
      <c r="V5" s="1" t="s">
        <v>127</v>
      </c>
      <c r="W5" s="1" t="s">
        <v>122</v>
      </c>
      <c r="X5" s="45" t="s">
        <v>136</v>
      </c>
      <c r="Y5" s="1" t="s">
        <v>141</v>
      </c>
      <c r="Z5" s="1" t="s">
        <v>39</v>
      </c>
      <c r="AA5" s="1" t="s">
        <v>178</v>
      </c>
      <c r="AB5" s="1" t="s">
        <v>152</v>
      </c>
      <c r="AC5" s="1" t="s">
        <v>153</v>
      </c>
      <c r="AD5" s="1" t="s">
        <v>153</v>
      </c>
      <c r="AE5" s="1" t="s">
        <v>161</v>
      </c>
      <c r="AF5" s="1" t="s">
        <v>162</v>
      </c>
      <c r="AG5" s="1" t="s">
        <v>163</v>
      </c>
      <c r="AH5" s="1" t="s">
        <v>164</v>
      </c>
      <c r="AI5" s="1" t="s">
        <v>152</v>
      </c>
      <c r="AJ5" s="1" t="s">
        <v>152</v>
      </c>
    </row>
    <row r="6" spans="1:36" x14ac:dyDescent="0.25">
      <c r="A6" s="1" t="s">
        <v>29</v>
      </c>
      <c r="B6" s="1" t="s">
        <v>110</v>
      </c>
      <c r="C6" s="1" t="s">
        <v>88</v>
      </c>
      <c r="D6" s="1" t="s">
        <v>89</v>
      </c>
      <c r="E6" s="1" t="s">
        <v>96</v>
      </c>
      <c r="F6" s="1" t="s">
        <v>91</v>
      </c>
      <c r="G6" s="1" t="s">
        <v>88</v>
      </c>
      <c r="H6" s="1" t="s">
        <v>43</v>
      </c>
      <c r="I6" s="1" t="s">
        <v>173</v>
      </c>
      <c r="J6" s="1" t="s">
        <v>174</v>
      </c>
      <c r="K6" s="1" t="s">
        <v>152</v>
      </c>
      <c r="L6" s="1" t="s">
        <v>117</v>
      </c>
      <c r="M6" s="1" t="s">
        <v>119</v>
      </c>
      <c r="N6" s="1" t="s">
        <v>104</v>
      </c>
      <c r="O6" s="1" t="s">
        <v>122</v>
      </c>
      <c r="P6" s="1" t="s">
        <v>124</v>
      </c>
      <c r="Q6" s="1" t="s">
        <v>122</v>
      </c>
      <c r="R6" s="1" t="s">
        <v>127</v>
      </c>
      <c r="S6" s="1" t="s">
        <v>122</v>
      </c>
      <c r="T6" s="1" t="s">
        <v>122</v>
      </c>
      <c r="U6" s="1" t="s">
        <v>122</v>
      </c>
      <c r="V6" s="1" t="s">
        <v>127</v>
      </c>
      <c r="W6" s="1" t="s">
        <v>122</v>
      </c>
      <c r="X6" s="45" t="s">
        <v>136</v>
      </c>
      <c r="Y6" s="1" t="s">
        <v>142</v>
      </c>
      <c r="Z6" s="1" t="s">
        <v>39</v>
      </c>
      <c r="AA6" s="1" t="s">
        <v>178</v>
      </c>
      <c r="AB6" s="1" t="s">
        <v>152</v>
      </c>
      <c r="AC6" s="1" t="s">
        <v>153</v>
      </c>
      <c r="AD6" s="1" t="s">
        <v>153</v>
      </c>
      <c r="AE6" s="1" t="s">
        <v>158</v>
      </c>
      <c r="AF6" s="1" t="s">
        <v>165</v>
      </c>
      <c r="AG6" s="1" t="s">
        <v>163</v>
      </c>
      <c r="AH6" s="1" t="s">
        <v>166</v>
      </c>
      <c r="AI6" s="1" t="s">
        <v>153</v>
      </c>
      <c r="AJ6" s="1" t="s">
        <v>153</v>
      </c>
    </row>
    <row r="7" spans="1:36" x14ac:dyDescent="0.25">
      <c r="A7" s="1" t="s">
        <v>29</v>
      </c>
      <c r="B7" s="1" t="s">
        <v>111</v>
      </c>
      <c r="C7" s="1" t="s">
        <v>88</v>
      </c>
      <c r="D7" s="1" t="s">
        <v>89</v>
      </c>
      <c r="E7" s="1" t="s">
        <v>96</v>
      </c>
      <c r="F7" s="1" t="s">
        <v>91</v>
      </c>
      <c r="G7" s="1" t="s">
        <v>88</v>
      </c>
      <c r="H7" s="1" t="s">
        <v>43</v>
      </c>
      <c r="I7" s="1" t="s">
        <v>173</v>
      </c>
      <c r="J7" s="1" t="s">
        <v>174</v>
      </c>
      <c r="K7" s="1" t="s">
        <v>152</v>
      </c>
      <c r="L7" s="1" t="s">
        <v>117</v>
      </c>
      <c r="M7" s="1" t="s">
        <v>119</v>
      </c>
      <c r="N7" s="1" t="s">
        <v>104</v>
      </c>
      <c r="O7" s="1" t="s">
        <v>122</v>
      </c>
      <c r="P7" s="1" t="s">
        <v>124</v>
      </c>
      <c r="Q7" s="1" t="s">
        <v>122</v>
      </c>
      <c r="R7" s="1" t="s">
        <v>127</v>
      </c>
      <c r="S7" s="1" t="s">
        <v>122</v>
      </c>
      <c r="T7" s="1" t="s">
        <v>122</v>
      </c>
      <c r="U7" s="1" t="s">
        <v>122</v>
      </c>
      <c r="V7" s="1" t="s">
        <v>127</v>
      </c>
      <c r="W7" s="1" t="s">
        <v>122</v>
      </c>
      <c r="X7" s="45" t="s">
        <v>136</v>
      </c>
      <c r="Y7" s="1" t="s">
        <v>138</v>
      </c>
      <c r="Z7" s="1" t="s">
        <v>39</v>
      </c>
      <c r="AA7" s="1" t="s">
        <v>178</v>
      </c>
      <c r="AB7" s="1" t="s">
        <v>152</v>
      </c>
      <c r="AC7" s="1" t="s">
        <v>153</v>
      </c>
      <c r="AD7" s="1" t="s">
        <v>153</v>
      </c>
      <c r="AE7" s="1" t="s">
        <v>158</v>
      </c>
      <c r="AF7" s="1" t="s">
        <v>167</v>
      </c>
      <c r="AG7" s="1" t="s">
        <v>168</v>
      </c>
      <c r="AH7" s="1" t="s">
        <v>169</v>
      </c>
      <c r="AI7" s="1" t="s">
        <v>153</v>
      </c>
      <c r="AJ7" s="1" t="s">
        <v>153</v>
      </c>
    </row>
    <row r="8" spans="1:36" x14ac:dyDescent="0.25">
      <c r="A8" s="1" t="s">
        <v>29</v>
      </c>
      <c r="B8" s="1" t="s">
        <v>112</v>
      </c>
      <c r="C8" s="1" t="s">
        <v>88</v>
      </c>
      <c r="D8" s="1" t="s">
        <v>89</v>
      </c>
      <c r="E8" s="1" t="s">
        <v>96</v>
      </c>
      <c r="F8" s="1" t="s">
        <v>91</v>
      </c>
      <c r="G8" s="1" t="s">
        <v>88</v>
      </c>
      <c r="H8" s="1" t="s">
        <v>43</v>
      </c>
      <c r="I8" s="1" t="s">
        <v>173</v>
      </c>
      <c r="J8" s="1" t="s">
        <v>174</v>
      </c>
      <c r="K8" s="1" t="s">
        <v>152</v>
      </c>
      <c r="L8" s="1" t="s">
        <v>117</v>
      </c>
      <c r="M8" s="1" t="s">
        <v>119</v>
      </c>
      <c r="N8" s="1" t="s">
        <v>104</v>
      </c>
      <c r="O8" s="1" t="s">
        <v>122</v>
      </c>
      <c r="P8" s="1" t="s">
        <v>124</v>
      </c>
      <c r="Q8" s="1" t="s">
        <v>122</v>
      </c>
      <c r="R8" s="1" t="s">
        <v>127</v>
      </c>
      <c r="S8" s="1" t="s">
        <v>122</v>
      </c>
      <c r="T8" s="1" t="s">
        <v>122</v>
      </c>
      <c r="U8" s="1" t="s">
        <v>122</v>
      </c>
      <c r="V8" s="1" t="s">
        <v>127</v>
      </c>
      <c r="W8" s="1" t="s">
        <v>122</v>
      </c>
      <c r="X8" s="45" t="s">
        <v>136</v>
      </c>
      <c r="Y8" s="1" t="s">
        <v>138</v>
      </c>
      <c r="Z8" s="1" t="s">
        <v>39</v>
      </c>
      <c r="AA8" s="1" t="s">
        <v>178</v>
      </c>
      <c r="AB8" s="1" t="s">
        <v>152</v>
      </c>
      <c r="AC8" s="1" t="s">
        <v>153</v>
      </c>
      <c r="AD8" s="1" t="s">
        <v>153</v>
      </c>
      <c r="AE8" s="1" t="s">
        <v>158</v>
      </c>
      <c r="AF8" s="1" t="s">
        <v>167</v>
      </c>
      <c r="AG8" s="1" t="s">
        <v>168</v>
      </c>
      <c r="AH8" s="1" t="s">
        <v>169</v>
      </c>
      <c r="AI8" s="1" t="s">
        <v>153</v>
      </c>
      <c r="AJ8" s="1" t="s">
        <v>153</v>
      </c>
    </row>
    <row r="9" spans="1:36" x14ac:dyDescent="0.25">
      <c r="A9" s="1"/>
      <c r="B9" s="1"/>
      <c r="C9" s="1"/>
      <c r="D9" s="1"/>
      <c r="E9" s="1"/>
      <c r="F9" s="1"/>
      <c r="G9" s="1"/>
      <c r="H9" s="1"/>
      <c r="I9" s="1"/>
      <c r="J9" s="1"/>
      <c r="K9" s="1"/>
      <c r="L9" s="1"/>
      <c r="M9" s="1"/>
      <c r="N9" s="1"/>
      <c r="O9" s="1"/>
      <c r="P9" s="1"/>
      <c r="Q9" s="1"/>
      <c r="R9" s="1"/>
      <c r="S9" s="1"/>
      <c r="T9" s="1"/>
      <c r="U9" s="1"/>
      <c r="V9" s="1"/>
      <c r="W9" s="1"/>
      <c r="X9" s="45"/>
      <c r="Y9" s="1"/>
      <c r="Z9" s="1"/>
      <c r="AA9" s="1"/>
      <c r="AB9" s="1"/>
      <c r="AC9" s="1"/>
      <c r="AD9" s="1"/>
      <c r="AE9" s="1"/>
      <c r="AF9" s="1"/>
      <c r="AG9" s="1"/>
      <c r="AH9" s="1"/>
      <c r="AI9" s="1"/>
      <c r="AJ9" s="1"/>
    </row>
    <row r="10" spans="1:36" x14ac:dyDescent="0.25">
      <c r="A10" s="1"/>
      <c r="B10" s="1"/>
      <c r="C10" s="1"/>
      <c r="D10" s="1"/>
      <c r="E10" s="1"/>
      <c r="F10" s="1"/>
      <c r="G10" s="1"/>
      <c r="H10" s="1"/>
      <c r="I10" s="1"/>
      <c r="J10" s="1"/>
      <c r="K10" s="1"/>
      <c r="L10" s="1"/>
      <c r="M10" s="1"/>
      <c r="N10" s="1"/>
      <c r="O10" s="1"/>
      <c r="P10" s="1"/>
      <c r="Q10" s="1"/>
      <c r="R10" s="1"/>
      <c r="S10" s="1"/>
      <c r="T10" s="1"/>
      <c r="U10" s="1"/>
      <c r="V10" s="1"/>
      <c r="W10" s="1"/>
      <c r="X10" s="45"/>
      <c r="Y10" s="1"/>
      <c r="Z10" s="1"/>
      <c r="AA10" s="1"/>
      <c r="AB10" s="1"/>
      <c r="AC10" s="1"/>
      <c r="AD10" s="1"/>
      <c r="AE10" s="1"/>
      <c r="AF10" s="1"/>
      <c r="AG10" s="1"/>
      <c r="AH10" s="1"/>
      <c r="AI10" s="1"/>
      <c r="AJ10" s="1"/>
    </row>
    <row r="11" spans="1:3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x14ac:dyDescent="0.25">
      <c r="A15" s="1"/>
      <c r="B15" s="1"/>
      <c r="C15" s="1"/>
      <c r="D15" s="1"/>
      <c r="E15" s="1"/>
      <c r="F15" s="1"/>
      <c r="G15" s="1"/>
      <c r="H15" s="1"/>
      <c r="I15" s="1"/>
      <c r="J15" s="1"/>
      <c r="K15" s="1"/>
      <c r="L15" s="1"/>
      <c r="M15" s="1"/>
      <c r="N15" s="1"/>
      <c r="O15" s="1"/>
      <c r="P15" s="1"/>
      <c r="Q15" s="1"/>
      <c r="R15" s="1"/>
      <c r="S15" s="1"/>
      <c r="T15" s="1"/>
      <c r="U15" s="1"/>
      <c r="V15" s="1"/>
      <c r="W15" s="46"/>
      <c r="X15" s="1"/>
      <c r="Y15" s="1"/>
      <c r="Z15" s="1"/>
      <c r="AA15" s="1"/>
      <c r="AB15" s="1"/>
      <c r="AC15" s="1"/>
      <c r="AD15" s="1"/>
      <c r="AE15" s="1"/>
      <c r="AF15" s="1"/>
      <c r="AG15" s="1"/>
      <c r="AH15" s="1"/>
      <c r="AI15" s="1"/>
      <c r="AJ15" s="1"/>
    </row>
    <row r="16" spans="1:36" x14ac:dyDescent="0.25">
      <c r="A16" s="1"/>
      <c r="B16" s="1"/>
      <c r="C16" s="1"/>
      <c r="D16" s="1"/>
      <c r="E16" s="1"/>
      <c r="F16" s="1"/>
      <c r="G16" s="1"/>
      <c r="H16" s="1"/>
      <c r="I16" s="1"/>
      <c r="J16" s="1"/>
      <c r="K16" s="1"/>
      <c r="L16" s="1"/>
      <c r="M16" s="1"/>
      <c r="N16" s="1"/>
      <c r="O16" s="1"/>
      <c r="P16" s="1"/>
      <c r="Q16" s="1"/>
      <c r="R16" s="1"/>
      <c r="S16" s="1"/>
      <c r="T16" s="1"/>
      <c r="U16" s="1"/>
      <c r="V16" s="1"/>
      <c r="W16" s="46"/>
      <c r="X16" s="1"/>
      <c r="Y16" s="1"/>
      <c r="Z16" s="1"/>
      <c r="AA16" s="1"/>
      <c r="AB16" s="1"/>
      <c r="AC16" s="1"/>
      <c r="AD16" s="1"/>
      <c r="AE16" s="1"/>
      <c r="AF16" s="1"/>
      <c r="AG16" s="1"/>
      <c r="AH16" s="1"/>
      <c r="AI16" s="1"/>
      <c r="AJ16" s="1"/>
    </row>
    <row r="17" spans="1:36" x14ac:dyDescent="0.25">
      <c r="A17" s="1"/>
      <c r="B17" s="1"/>
      <c r="C17" s="1"/>
      <c r="D17" s="1"/>
      <c r="E17" s="1"/>
      <c r="F17" s="1"/>
      <c r="G17" s="1"/>
      <c r="H17" s="1"/>
      <c r="I17" s="1"/>
      <c r="J17" s="1"/>
      <c r="K17" s="1"/>
      <c r="L17" s="1"/>
      <c r="M17" s="1"/>
      <c r="N17" s="1"/>
      <c r="O17" s="1"/>
      <c r="P17" s="1"/>
      <c r="Q17" s="1"/>
      <c r="R17" s="1"/>
      <c r="S17" s="1"/>
      <c r="T17" s="1"/>
      <c r="U17" s="1"/>
      <c r="V17" s="1"/>
      <c r="W17" s="46"/>
      <c r="X17" s="1"/>
      <c r="Y17" s="1"/>
      <c r="Z17" s="1"/>
      <c r="AA17" s="1"/>
      <c r="AB17" s="1"/>
      <c r="AC17" s="1"/>
      <c r="AD17" s="1"/>
      <c r="AE17" s="1"/>
      <c r="AF17" s="1"/>
      <c r="AG17" s="1"/>
      <c r="AH17" s="1"/>
      <c r="AI17" s="1"/>
      <c r="AJ17" s="1"/>
    </row>
    <row r="18" spans="1:3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row r="61" spans="1:3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row>
    <row r="62" spans="1:3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row>
    <row r="63" spans="1:3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row>
    <row r="64" spans="1:3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row>
    <row r="65" spans="1:3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row>
    <row r="66" spans="1:3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row>
    <row r="67" spans="1:3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row>
    <row r="68" spans="1:3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row>
    <row r="69" spans="1:3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row>
    <row r="70" spans="1:3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row>
    <row r="71" spans="1:3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row>
    <row r="72" spans="1:3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row>
    <row r="73" spans="1:3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row>
    <row r="74" spans="1:3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row>
    <row r="75" spans="1:3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row>
    <row r="76" spans="1:3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row>
    <row r="77" spans="1:3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row>
    <row r="78" spans="1:3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row>
    <row r="199" spans="1:36" x14ac:dyDescent="0.25">
      <c r="A199" s="1"/>
      <c r="B199" s="1"/>
      <c r="C199" s="1"/>
      <c r="D199" s="1"/>
      <c r="E199" s="1"/>
      <c r="F199" s="1"/>
      <c r="G199" s="1"/>
      <c r="H199" s="1"/>
      <c r="I199" s="1"/>
      <c r="J199" s="1"/>
      <c r="K199" s="1"/>
      <c r="L199" s="1"/>
      <c r="M199" s="1"/>
      <c r="N199" s="1"/>
      <c r="O199" s="1"/>
      <c r="P199" s="1"/>
      <c r="Q199" s="1"/>
      <c r="R199" s="1"/>
      <c r="S199" s="1"/>
      <c r="T199" s="1"/>
      <c r="U199" s="1"/>
    </row>
    <row r="200" spans="1:36" x14ac:dyDescent="0.25">
      <c r="A200" s="1"/>
      <c r="B200" s="1"/>
      <c r="C200" s="1"/>
      <c r="D200" s="1"/>
      <c r="E200" s="1"/>
      <c r="F200" s="1"/>
      <c r="G200" s="1"/>
      <c r="H200" s="1"/>
      <c r="I200" s="1"/>
      <c r="J200" s="1"/>
      <c r="K200" s="1"/>
      <c r="L200" s="1"/>
      <c r="M200" s="1"/>
      <c r="N200" s="1"/>
      <c r="O200" s="1"/>
      <c r="P200" s="1"/>
      <c r="Q200" s="1"/>
      <c r="R200" s="1"/>
      <c r="S200" s="1"/>
      <c r="T200" s="1"/>
      <c r="U200" s="1"/>
    </row>
    <row r="201" spans="1:36" x14ac:dyDescent="0.25">
      <c r="A201" s="1"/>
      <c r="B201" s="1"/>
      <c r="C201" s="1"/>
      <c r="D201" s="1"/>
      <c r="E201" s="1"/>
      <c r="F201" s="1"/>
      <c r="G201" s="1"/>
      <c r="H201" s="1"/>
      <c r="I201" s="1"/>
      <c r="J201" s="1"/>
      <c r="K201" s="1"/>
      <c r="L201" s="1"/>
      <c r="M201" s="1"/>
      <c r="N201" s="1"/>
      <c r="O201" s="1"/>
      <c r="P201" s="1"/>
      <c r="Q201" s="1"/>
      <c r="R201" s="1"/>
      <c r="S201" s="1"/>
      <c r="T201" s="1"/>
      <c r="U201" s="1"/>
    </row>
    <row r="202" spans="1:36" x14ac:dyDescent="0.25">
      <c r="A202" s="1"/>
      <c r="B202" s="1"/>
      <c r="C202" s="1"/>
      <c r="D202" s="1"/>
      <c r="E202" s="1"/>
      <c r="F202" s="1"/>
      <c r="G202" s="1"/>
      <c r="H202" s="1"/>
      <c r="I202" s="1"/>
      <c r="J202" s="1"/>
      <c r="K202" s="1"/>
      <c r="L202" s="1"/>
      <c r="M202" s="1"/>
      <c r="N202" s="1"/>
      <c r="O202" s="1"/>
      <c r="P202" s="1"/>
      <c r="Q202" s="1"/>
      <c r="R202" s="1"/>
      <c r="S202" s="1"/>
      <c r="T202" s="1"/>
      <c r="U202" s="1"/>
    </row>
    <row r="203" spans="1:36" x14ac:dyDescent="0.25">
      <c r="A203" s="1"/>
      <c r="B203" s="1"/>
      <c r="C203" s="1"/>
      <c r="D203" s="1"/>
      <c r="E203" s="1"/>
      <c r="F203" s="1"/>
      <c r="G203" s="1"/>
      <c r="H203" s="1"/>
      <c r="I203" s="1"/>
      <c r="J203" s="1"/>
      <c r="K203" s="1"/>
      <c r="L203" s="1"/>
      <c r="M203" s="1"/>
      <c r="N203" s="1"/>
      <c r="O203" s="1"/>
      <c r="P203" s="1"/>
      <c r="Q203" s="1"/>
      <c r="R203" s="1"/>
      <c r="S203" s="1"/>
      <c r="T203" s="1"/>
      <c r="U203" s="1"/>
    </row>
    <row r="204" spans="1:36" x14ac:dyDescent="0.25">
      <c r="A204" s="1"/>
      <c r="B204" s="1"/>
      <c r="C204" s="1"/>
      <c r="D204" s="1"/>
      <c r="E204" s="1"/>
      <c r="F204" s="1"/>
      <c r="G204" s="1"/>
      <c r="H204" s="1"/>
      <c r="I204" s="1"/>
      <c r="J204" s="1"/>
      <c r="K204" s="1"/>
      <c r="L204" s="1"/>
      <c r="M204" s="1"/>
      <c r="N204" s="1"/>
      <c r="O204" s="1"/>
      <c r="P204" s="1"/>
      <c r="Q204" s="1"/>
      <c r="R204" s="1"/>
      <c r="S204" s="1"/>
      <c r="T204" s="1"/>
      <c r="U204" s="1"/>
    </row>
    <row r="205" spans="1:36" x14ac:dyDescent="0.25">
      <c r="A205" s="1"/>
      <c r="B205" s="1"/>
      <c r="C205" s="1"/>
      <c r="D205" s="1"/>
      <c r="E205" s="1"/>
      <c r="F205" s="1"/>
      <c r="G205" s="1"/>
      <c r="H205" s="1"/>
      <c r="I205" s="1"/>
      <c r="J205" s="1"/>
      <c r="K205" s="1"/>
      <c r="L205" s="1"/>
      <c r="M205" s="1"/>
      <c r="N205" s="1"/>
      <c r="O205" s="1"/>
      <c r="P205" s="1"/>
      <c r="Q205" s="1"/>
      <c r="R205" s="1"/>
      <c r="S205" s="1"/>
      <c r="T205" s="1"/>
      <c r="U205" s="1"/>
    </row>
    <row r="206" spans="1:36" x14ac:dyDescent="0.25">
      <c r="A206" s="1"/>
      <c r="B206" s="1"/>
      <c r="C206" s="1"/>
      <c r="D206" s="1"/>
      <c r="E206" s="1"/>
      <c r="F206" s="1"/>
      <c r="G206" s="1"/>
      <c r="H206" s="1"/>
      <c r="I206" s="1"/>
      <c r="J206" s="1"/>
      <c r="K206" s="1"/>
      <c r="L206" s="1"/>
      <c r="M206" s="1"/>
      <c r="N206" s="1"/>
      <c r="O206" s="1"/>
      <c r="P206" s="1"/>
      <c r="Q206" s="1"/>
      <c r="R206" s="1"/>
      <c r="S206" s="1"/>
      <c r="T206" s="1"/>
      <c r="U206" s="1"/>
    </row>
    <row r="207" spans="1:36" x14ac:dyDescent="0.25">
      <c r="A207" s="1"/>
      <c r="B207" s="1"/>
      <c r="C207" s="1"/>
      <c r="D207" s="1"/>
      <c r="E207" s="1"/>
      <c r="F207" s="1"/>
      <c r="G207" s="1"/>
      <c r="H207" s="1"/>
      <c r="I207" s="1"/>
      <c r="J207" s="1"/>
      <c r="K207" s="1"/>
      <c r="L207" s="1"/>
      <c r="M207" s="1"/>
      <c r="N207" s="1"/>
      <c r="O207" s="1"/>
      <c r="P207" s="1"/>
      <c r="Q207" s="1"/>
      <c r="R207" s="1"/>
      <c r="S207" s="1"/>
      <c r="T207" s="1"/>
      <c r="U207" s="1"/>
    </row>
    <row r="208" spans="1:36" x14ac:dyDescent="0.25">
      <c r="A208" s="1"/>
      <c r="B208" s="1"/>
      <c r="C208" s="1"/>
      <c r="D208" s="1"/>
      <c r="E208" s="1"/>
      <c r="F208" s="1"/>
      <c r="G208" s="1"/>
      <c r="H208" s="1"/>
      <c r="I208" s="1"/>
      <c r="J208" s="1"/>
      <c r="K208" s="1"/>
      <c r="L208" s="1"/>
      <c r="M208" s="1"/>
      <c r="N208" s="1"/>
      <c r="O208" s="1"/>
      <c r="P208" s="1"/>
      <c r="Q208" s="1"/>
      <c r="R208" s="1"/>
      <c r="S208" s="1"/>
      <c r="T208" s="1"/>
      <c r="U208" s="1"/>
    </row>
    <row r="209" spans="1:21" x14ac:dyDescent="0.25">
      <c r="A209" s="1"/>
      <c r="B209" s="1"/>
      <c r="C209" s="1"/>
      <c r="D209" s="1"/>
      <c r="E209" s="1"/>
      <c r="F209" s="1"/>
      <c r="G209" s="1"/>
      <c r="H209" s="1"/>
      <c r="I209" s="1"/>
      <c r="J209" s="1"/>
      <c r="K209" s="1"/>
      <c r="L209" s="1"/>
      <c r="M209" s="1"/>
      <c r="N209" s="1"/>
      <c r="O209" s="1"/>
      <c r="P209" s="1"/>
      <c r="Q209" s="1"/>
      <c r="R209" s="1"/>
      <c r="S209" s="1"/>
      <c r="T209" s="1"/>
      <c r="U209" s="1"/>
    </row>
    <row r="210" spans="1:21" x14ac:dyDescent="0.25">
      <c r="A210" s="1"/>
      <c r="B210" s="1"/>
      <c r="C210" s="1"/>
      <c r="D210" s="1"/>
      <c r="E210" s="1"/>
      <c r="F210" s="1"/>
      <c r="G210" s="1"/>
      <c r="H210" s="1"/>
      <c r="I210" s="1"/>
      <c r="J210" s="1"/>
      <c r="K210" s="1"/>
      <c r="L210" s="1"/>
      <c r="M210" s="1"/>
      <c r="N210" s="1"/>
      <c r="O210" s="1"/>
      <c r="P210" s="1"/>
      <c r="Q210" s="1"/>
      <c r="R210" s="1"/>
      <c r="S210" s="1"/>
      <c r="T210" s="1"/>
      <c r="U210" s="1"/>
    </row>
    <row r="211" spans="1:21" x14ac:dyDescent="0.25">
      <c r="A211" s="1"/>
      <c r="B211" s="1"/>
      <c r="C211" s="1"/>
      <c r="D211" s="1"/>
      <c r="E211" s="1"/>
      <c r="F211" s="1"/>
      <c r="G211" s="1"/>
      <c r="H211" s="1"/>
      <c r="I211" s="1"/>
      <c r="J211" s="1"/>
      <c r="K211" s="1"/>
      <c r="L211" s="1"/>
      <c r="M211" s="1"/>
      <c r="N211" s="1"/>
      <c r="O211" s="1"/>
      <c r="P211" s="1"/>
      <c r="Q211" s="1"/>
      <c r="R211" s="1"/>
      <c r="S211" s="1"/>
      <c r="T211" s="1"/>
      <c r="U211" s="1"/>
    </row>
    <row r="212" spans="1:21" x14ac:dyDescent="0.25">
      <c r="A212" s="1"/>
      <c r="B212" s="1"/>
      <c r="C212" s="1"/>
      <c r="D212" s="1"/>
      <c r="E212" s="1"/>
      <c r="F212" s="1"/>
      <c r="G212" s="1"/>
      <c r="H212" s="1"/>
      <c r="I212" s="1"/>
      <c r="J212" s="1"/>
      <c r="K212" s="1"/>
      <c r="L212" s="1"/>
      <c r="M212" s="1"/>
      <c r="N212" s="1"/>
      <c r="O212" s="1"/>
      <c r="P212" s="1"/>
      <c r="Q212" s="1"/>
      <c r="R212" s="1"/>
      <c r="S212" s="1"/>
      <c r="T212" s="1"/>
      <c r="U212" s="1"/>
    </row>
    <row r="213" spans="1:21" x14ac:dyDescent="0.25">
      <c r="A213" s="1"/>
      <c r="B213" s="1"/>
      <c r="C213" s="1"/>
      <c r="D213" s="1"/>
      <c r="E213" s="1"/>
      <c r="F213" s="1"/>
      <c r="G213" s="1"/>
      <c r="H213" s="1"/>
      <c r="I213" s="1"/>
      <c r="J213" s="1"/>
      <c r="K213" s="1"/>
      <c r="L213" s="1"/>
      <c r="M213" s="1"/>
      <c r="N213" s="1"/>
      <c r="O213" s="1"/>
      <c r="P213" s="1"/>
      <c r="Q213" s="1"/>
      <c r="R213" s="1"/>
      <c r="S213" s="1"/>
      <c r="T213" s="1"/>
      <c r="U213" s="1"/>
    </row>
    <row r="214" spans="1:21" x14ac:dyDescent="0.25">
      <c r="A214" s="1"/>
      <c r="B214" s="1"/>
      <c r="C214" s="1"/>
      <c r="D214" s="1"/>
      <c r="E214" s="1"/>
      <c r="F214" s="1"/>
      <c r="G214" s="1"/>
      <c r="H214" s="1"/>
      <c r="I214" s="1"/>
      <c r="J214" s="1"/>
      <c r="K214" s="1"/>
      <c r="L214" s="1"/>
      <c r="M214" s="1"/>
      <c r="N214" s="1"/>
      <c r="O214" s="1"/>
      <c r="P214" s="1"/>
      <c r="Q214" s="1"/>
      <c r="R214" s="1"/>
      <c r="S214" s="1"/>
      <c r="T214" s="1"/>
      <c r="U214" s="1"/>
    </row>
    <row r="215" spans="1:21" x14ac:dyDescent="0.25">
      <c r="A215" s="1"/>
      <c r="B215" s="1"/>
      <c r="C215" s="1"/>
      <c r="D215" s="1"/>
      <c r="E215" s="1"/>
      <c r="F215" s="1"/>
      <c r="G215" s="1"/>
      <c r="H215" s="1"/>
      <c r="I215" s="1"/>
      <c r="J215" s="1"/>
      <c r="K215" s="1"/>
      <c r="L215" s="1"/>
      <c r="M215" s="1"/>
      <c r="N215" s="1"/>
      <c r="O215" s="1"/>
      <c r="P215" s="1"/>
      <c r="Q215" s="1"/>
      <c r="R215" s="1"/>
      <c r="S215" s="1"/>
      <c r="T215" s="1"/>
      <c r="U215" s="1"/>
    </row>
    <row r="216" spans="1:21" x14ac:dyDescent="0.25">
      <c r="A216" s="1"/>
      <c r="B216" s="1"/>
      <c r="C216" s="1"/>
      <c r="D216" s="1"/>
      <c r="E216" s="1"/>
      <c r="F216" s="1"/>
      <c r="G216" s="1"/>
      <c r="H216" s="1"/>
      <c r="I216" s="1"/>
      <c r="J216" s="1"/>
      <c r="K216" s="1"/>
      <c r="L216" s="1"/>
      <c r="M216" s="1"/>
      <c r="N216" s="1"/>
      <c r="O216" s="1"/>
      <c r="P216" s="1"/>
      <c r="Q216" s="1"/>
      <c r="R216" s="1"/>
      <c r="S216" s="1"/>
      <c r="T216" s="1"/>
      <c r="U216" s="1"/>
    </row>
    <row r="217" spans="1:21" x14ac:dyDescent="0.25">
      <c r="A217" s="1"/>
      <c r="B217" s="1"/>
      <c r="C217" s="1"/>
      <c r="D217" s="1"/>
      <c r="E217" s="1"/>
      <c r="F217" s="1"/>
      <c r="G217" s="1"/>
      <c r="H217" s="1"/>
      <c r="I217" s="1"/>
      <c r="J217" s="1"/>
      <c r="K217" s="1"/>
      <c r="L217" s="1"/>
      <c r="M217" s="1"/>
      <c r="N217" s="1"/>
      <c r="O217" s="1"/>
      <c r="P217" s="1"/>
      <c r="Q217" s="1"/>
      <c r="R217" s="1"/>
      <c r="S217" s="1"/>
      <c r="T217" s="1"/>
      <c r="U217" s="1"/>
    </row>
    <row r="218" spans="1:21" x14ac:dyDescent="0.25">
      <c r="A218" s="1"/>
      <c r="B218" s="1"/>
      <c r="C218" s="1"/>
      <c r="D218" s="1"/>
      <c r="E218" s="1"/>
      <c r="F218" s="1"/>
      <c r="G218" s="1"/>
      <c r="H218" s="1"/>
      <c r="I218" s="1"/>
      <c r="J218" s="1"/>
      <c r="K218" s="1"/>
      <c r="L218" s="1"/>
      <c r="M218" s="1"/>
      <c r="N218" s="1"/>
      <c r="O218" s="1"/>
      <c r="P218" s="1"/>
      <c r="Q218" s="1"/>
      <c r="R218" s="1"/>
      <c r="S218" s="1"/>
      <c r="T218" s="1"/>
      <c r="U218" s="1"/>
    </row>
    <row r="219" spans="1:21" x14ac:dyDescent="0.25">
      <c r="A219" s="1"/>
      <c r="B219" s="1"/>
      <c r="C219" s="1"/>
      <c r="D219" s="1"/>
      <c r="E219" s="1"/>
      <c r="F219" s="1"/>
      <c r="G219" s="1"/>
      <c r="H219" s="1"/>
      <c r="I219" s="1"/>
      <c r="J219" s="1"/>
      <c r="K219" s="1"/>
      <c r="L219" s="1"/>
      <c r="M219" s="1"/>
      <c r="N219" s="1"/>
      <c r="O219" s="1"/>
      <c r="P219" s="1"/>
      <c r="Q219" s="1"/>
      <c r="R219" s="1"/>
      <c r="S219" s="1"/>
      <c r="T219" s="1"/>
      <c r="U219" s="1"/>
    </row>
    <row r="220" spans="1:21" x14ac:dyDescent="0.25">
      <c r="A220" s="1"/>
      <c r="B220" s="1"/>
      <c r="C220" s="1"/>
      <c r="D220" s="1"/>
      <c r="E220" s="1"/>
      <c r="F220" s="1"/>
      <c r="G220" s="1"/>
      <c r="H220" s="1"/>
      <c r="I220" s="1"/>
      <c r="J220" s="1"/>
      <c r="K220" s="1"/>
      <c r="L220" s="1"/>
      <c r="M220" s="1"/>
      <c r="N220" s="1"/>
      <c r="O220" s="1"/>
      <c r="P220" s="1"/>
      <c r="Q220" s="1"/>
      <c r="R220" s="1"/>
      <c r="S220" s="1"/>
      <c r="T220" s="1"/>
      <c r="U220" s="1"/>
    </row>
    <row r="221" spans="1:21" x14ac:dyDescent="0.25">
      <c r="A221" s="1"/>
      <c r="B221" s="1"/>
      <c r="C221" s="1"/>
      <c r="D221" s="1"/>
      <c r="E221" s="1"/>
      <c r="F221" s="1"/>
      <c r="G221" s="1"/>
      <c r="H221" s="1"/>
      <c r="I221" s="1"/>
      <c r="J221" s="1"/>
      <c r="K221" s="1"/>
      <c r="L221" s="1"/>
      <c r="M221" s="1"/>
      <c r="N221" s="1"/>
      <c r="O221" s="1"/>
      <c r="P221" s="1"/>
      <c r="Q221" s="1"/>
      <c r="R221" s="1"/>
      <c r="S221" s="1"/>
      <c r="T221" s="1"/>
      <c r="U221" s="1"/>
    </row>
    <row r="222" spans="1:21" x14ac:dyDescent="0.25">
      <c r="A222" s="1"/>
      <c r="B222" s="1"/>
      <c r="C222" s="1"/>
      <c r="D222" s="1"/>
      <c r="E222" s="1"/>
      <c r="F222" s="1"/>
      <c r="G222" s="1"/>
      <c r="H222" s="1"/>
      <c r="I222" s="1"/>
      <c r="J222" s="1"/>
      <c r="K222" s="1"/>
      <c r="L222" s="1"/>
      <c r="M222" s="1"/>
      <c r="N222" s="1"/>
      <c r="O222" s="1"/>
      <c r="P222" s="1"/>
      <c r="Q222" s="1"/>
      <c r="R222" s="1"/>
      <c r="S222" s="1"/>
      <c r="T222" s="1"/>
      <c r="U222" s="1"/>
    </row>
    <row r="223" spans="1:21" x14ac:dyDescent="0.25">
      <c r="A223" s="1"/>
      <c r="B223" s="1"/>
      <c r="C223" s="1"/>
      <c r="D223" s="1"/>
      <c r="E223" s="1"/>
      <c r="F223" s="1"/>
      <c r="G223" s="1"/>
      <c r="H223" s="1"/>
      <c r="I223" s="1"/>
      <c r="J223" s="1"/>
      <c r="K223" s="1"/>
      <c r="L223" s="1"/>
      <c r="M223" s="1"/>
      <c r="N223" s="1"/>
      <c r="O223" s="1"/>
      <c r="P223" s="1"/>
      <c r="Q223" s="1"/>
      <c r="R223" s="1"/>
      <c r="S223" s="1"/>
      <c r="T223" s="1"/>
      <c r="U223" s="1"/>
    </row>
    <row r="224" spans="1:21" x14ac:dyDescent="0.25">
      <c r="A224" s="1"/>
      <c r="B224" s="1"/>
      <c r="C224" s="1"/>
      <c r="D224" s="1"/>
      <c r="E224" s="1"/>
      <c r="F224" s="1"/>
      <c r="G224" s="1"/>
      <c r="H224" s="1"/>
      <c r="I224" s="1"/>
      <c r="J224" s="1"/>
      <c r="K224" s="1"/>
      <c r="L224" s="1"/>
      <c r="M224" s="1"/>
      <c r="N224" s="1"/>
      <c r="O224" s="1"/>
      <c r="P224" s="1"/>
      <c r="Q224" s="1"/>
      <c r="R224" s="1"/>
      <c r="S224" s="1"/>
      <c r="T224" s="1"/>
      <c r="U224" s="1"/>
    </row>
    <row r="225" spans="1:21" x14ac:dyDescent="0.25">
      <c r="A225" s="1"/>
      <c r="B225" s="1"/>
      <c r="C225" s="1"/>
      <c r="D225" s="1"/>
      <c r="E225" s="1"/>
      <c r="F225" s="1"/>
      <c r="G225" s="1"/>
      <c r="H225" s="1"/>
      <c r="I225" s="1"/>
      <c r="J225" s="1"/>
      <c r="K225" s="1"/>
      <c r="L225" s="1"/>
      <c r="M225" s="1"/>
      <c r="N225" s="1"/>
      <c r="O225" s="1"/>
      <c r="P225" s="1"/>
      <c r="Q225" s="1"/>
      <c r="R225" s="1"/>
      <c r="S225" s="1"/>
      <c r="T225" s="1"/>
      <c r="U225" s="1"/>
    </row>
    <row r="226" spans="1:21" x14ac:dyDescent="0.25">
      <c r="A226" s="1"/>
      <c r="B226" s="1"/>
      <c r="C226" s="1"/>
      <c r="D226" s="1"/>
      <c r="E226" s="1"/>
      <c r="F226" s="1"/>
      <c r="G226" s="1"/>
      <c r="H226" s="1"/>
      <c r="I226" s="1"/>
      <c r="J226" s="1"/>
      <c r="K226" s="1"/>
      <c r="L226" s="1"/>
      <c r="M226" s="1"/>
      <c r="N226" s="1"/>
      <c r="O226" s="1"/>
      <c r="P226" s="1"/>
      <c r="Q226" s="1"/>
      <c r="R226" s="1"/>
      <c r="S226" s="1"/>
      <c r="T226" s="1"/>
      <c r="U226" s="1"/>
    </row>
    <row r="227" spans="1:21" x14ac:dyDescent="0.25">
      <c r="A227" s="1"/>
      <c r="B227" s="1"/>
      <c r="C227" s="1"/>
      <c r="D227" s="1"/>
      <c r="E227" s="1"/>
      <c r="F227" s="1"/>
      <c r="G227" s="1"/>
      <c r="H227" s="1"/>
      <c r="I227" s="1"/>
      <c r="J227" s="1"/>
      <c r="K227" s="1"/>
      <c r="L227" s="1"/>
      <c r="M227" s="1"/>
      <c r="N227" s="1"/>
      <c r="O227" s="1"/>
      <c r="P227" s="1"/>
      <c r="Q227" s="1"/>
      <c r="R227" s="1"/>
      <c r="S227" s="1"/>
      <c r="T227" s="1"/>
      <c r="U227" s="1"/>
    </row>
    <row r="228" spans="1:21" x14ac:dyDescent="0.25">
      <c r="A228" s="1"/>
      <c r="B228" s="1"/>
      <c r="C228" s="1"/>
      <c r="D228" s="1"/>
      <c r="E228" s="1"/>
      <c r="F228" s="1"/>
      <c r="G228" s="1"/>
      <c r="H228" s="1"/>
      <c r="I228" s="1"/>
      <c r="J228" s="1"/>
      <c r="K228" s="1"/>
      <c r="L228" s="1"/>
      <c r="M228" s="1"/>
      <c r="N228" s="1"/>
      <c r="O228" s="1"/>
      <c r="P228" s="1"/>
      <c r="Q228" s="1"/>
      <c r="R228" s="1"/>
      <c r="S228" s="1"/>
      <c r="T228" s="1"/>
      <c r="U228" s="1"/>
    </row>
    <row r="229" spans="1:21" x14ac:dyDescent="0.25">
      <c r="A229" s="1"/>
      <c r="B229" s="1"/>
      <c r="C229" s="1"/>
      <c r="D229" s="1"/>
      <c r="E229" s="1"/>
      <c r="F229" s="1"/>
      <c r="G229" s="1"/>
      <c r="H229" s="1"/>
      <c r="I229" s="1"/>
      <c r="J229" s="1"/>
      <c r="K229" s="1"/>
      <c r="L229" s="1"/>
      <c r="M229" s="1"/>
      <c r="N229" s="1"/>
      <c r="O229" s="1"/>
      <c r="P229" s="1"/>
      <c r="Q229" s="1"/>
      <c r="R229" s="1"/>
      <c r="S229" s="1"/>
      <c r="T229" s="1"/>
      <c r="U229" s="1"/>
    </row>
    <row r="230" spans="1:21" x14ac:dyDescent="0.25">
      <c r="A230" s="1"/>
      <c r="B230" s="1"/>
      <c r="C230" s="1"/>
      <c r="D230" s="1"/>
      <c r="E230" s="1"/>
      <c r="F230" s="1"/>
      <c r="G230" s="1"/>
      <c r="H230" s="1"/>
      <c r="I230" s="1"/>
      <c r="J230" s="1"/>
      <c r="K230" s="1"/>
      <c r="L230" s="1"/>
      <c r="M230" s="1"/>
      <c r="N230" s="1"/>
      <c r="O230" s="1"/>
      <c r="P230" s="1"/>
      <c r="Q230" s="1"/>
      <c r="R230" s="1"/>
      <c r="S230" s="1"/>
      <c r="T230" s="1"/>
      <c r="U230" s="1"/>
    </row>
    <row r="231" spans="1:21" x14ac:dyDescent="0.25">
      <c r="A231" s="1"/>
      <c r="B231" s="1"/>
      <c r="C231" s="1"/>
      <c r="D231" s="1"/>
      <c r="E231" s="1"/>
      <c r="F231" s="1"/>
      <c r="G231" s="1"/>
      <c r="H231" s="1"/>
      <c r="I231" s="1"/>
      <c r="J231" s="1"/>
      <c r="K231" s="1"/>
      <c r="L231" s="1"/>
      <c r="M231" s="1"/>
      <c r="N231" s="1"/>
      <c r="O231" s="1"/>
      <c r="P231" s="1"/>
      <c r="Q231" s="1"/>
      <c r="R231" s="1"/>
      <c r="S231" s="1"/>
      <c r="T231" s="1"/>
      <c r="U231" s="1"/>
    </row>
    <row r="232" spans="1:21" x14ac:dyDescent="0.25">
      <c r="A232" s="1"/>
      <c r="B232" s="1"/>
      <c r="C232" s="1"/>
      <c r="D232" s="1"/>
      <c r="E232" s="1"/>
      <c r="F232" s="1"/>
      <c r="G232" s="1"/>
      <c r="H232" s="1"/>
      <c r="I232" s="1"/>
      <c r="J232" s="1"/>
      <c r="K232" s="1"/>
      <c r="L232" s="1"/>
      <c r="M232" s="1"/>
      <c r="N232" s="1"/>
      <c r="O232" s="1"/>
      <c r="P232" s="1"/>
      <c r="Q232" s="1"/>
      <c r="R232" s="1"/>
      <c r="S232" s="1"/>
      <c r="T232" s="1"/>
      <c r="U232" s="1"/>
    </row>
    <row r="233" spans="1:21" x14ac:dyDescent="0.25">
      <c r="A233" s="1"/>
      <c r="B233" s="1"/>
      <c r="C233" s="1"/>
      <c r="D233" s="1"/>
      <c r="E233" s="1"/>
      <c r="F233" s="1"/>
      <c r="G233" s="1"/>
      <c r="H233" s="1"/>
      <c r="I233" s="1"/>
      <c r="J233" s="1"/>
      <c r="K233" s="1"/>
      <c r="L233" s="1"/>
      <c r="M233" s="1"/>
      <c r="N233" s="1"/>
      <c r="O233" s="1"/>
      <c r="P233" s="1"/>
      <c r="Q233" s="1"/>
      <c r="R233" s="1"/>
      <c r="S233" s="1"/>
      <c r="T233" s="1"/>
      <c r="U233" s="1"/>
    </row>
    <row r="234" spans="1:21" x14ac:dyDescent="0.25">
      <c r="A234" s="1"/>
      <c r="B234" s="1"/>
      <c r="C234" s="1"/>
      <c r="D234" s="1"/>
      <c r="E234" s="1"/>
      <c r="F234" s="1"/>
      <c r="G234" s="1"/>
      <c r="H234" s="1"/>
      <c r="I234" s="1"/>
      <c r="J234" s="1"/>
      <c r="K234" s="1"/>
      <c r="L234" s="1"/>
      <c r="M234" s="1"/>
      <c r="N234" s="1"/>
      <c r="O234" s="1"/>
      <c r="P234" s="1"/>
      <c r="Q234" s="1"/>
      <c r="R234" s="1"/>
      <c r="S234" s="1"/>
      <c r="T234" s="1"/>
      <c r="U234" s="1"/>
    </row>
    <row r="235" spans="1:21" x14ac:dyDescent="0.25">
      <c r="A235" s="1"/>
      <c r="B235" s="1"/>
      <c r="C235" s="1"/>
      <c r="D235" s="1"/>
      <c r="E235" s="1"/>
      <c r="F235" s="1"/>
      <c r="G235" s="1"/>
      <c r="H235" s="1"/>
      <c r="I235" s="1"/>
      <c r="J235" s="1"/>
      <c r="K235" s="1"/>
      <c r="L235" s="1"/>
      <c r="M235" s="1"/>
      <c r="N235" s="1"/>
      <c r="O235" s="1"/>
      <c r="P235" s="1"/>
      <c r="Q235" s="1"/>
      <c r="R235" s="1"/>
      <c r="S235" s="1"/>
      <c r="T235" s="1"/>
      <c r="U235" s="1"/>
    </row>
    <row r="236" spans="1:21" x14ac:dyDescent="0.25">
      <c r="A236" s="1"/>
      <c r="B236" s="1"/>
      <c r="C236" s="1"/>
      <c r="D236" s="1"/>
      <c r="E236" s="1"/>
      <c r="F236" s="1"/>
      <c r="G236" s="1"/>
      <c r="H236" s="1"/>
      <c r="I236" s="1"/>
      <c r="J236" s="1"/>
      <c r="K236" s="1"/>
      <c r="L236" s="1"/>
      <c r="M236" s="1"/>
      <c r="N236" s="1"/>
      <c r="O236" s="1"/>
      <c r="P236" s="1"/>
      <c r="Q236" s="1"/>
      <c r="R236" s="1"/>
      <c r="S236" s="1"/>
      <c r="T236" s="1"/>
      <c r="U236" s="1"/>
    </row>
    <row r="237" spans="1:21" x14ac:dyDescent="0.25">
      <c r="A237" s="1"/>
      <c r="B237" s="1"/>
      <c r="C237" s="1"/>
      <c r="D237" s="1"/>
      <c r="E237" s="1"/>
      <c r="F237" s="1"/>
      <c r="G237" s="1"/>
      <c r="H237" s="1"/>
      <c r="I237" s="1"/>
      <c r="J237" s="1"/>
      <c r="K237" s="1"/>
      <c r="L237" s="1"/>
      <c r="M237" s="1"/>
      <c r="N237" s="1"/>
      <c r="O237" s="1"/>
      <c r="P237" s="1"/>
      <c r="Q237" s="1"/>
      <c r="R237" s="1"/>
      <c r="S237" s="1"/>
      <c r="T237" s="1"/>
      <c r="U237" s="1"/>
    </row>
    <row r="238" spans="1:21" x14ac:dyDescent="0.25">
      <c r="A238" s="1"/>
      <c r="B238" s="1"/>
      <c r="C238" s="1"/>
      <c r="D238" s="1"/>
      <c r="E238" s="1"/>
      <c r="F238" s="1"/>
      <c r="G238" s="1"/>
      <c r="H238" s="1"/>
      <c r="I238" s="1"/>
      <c r="J238" s="1"/>
      <c r="K238" s="1"/>
      <c r="L238" s="1"/>
      <c r="M238" s="1"/>
      <c r="N238" s="1"/>
      <c r="O238" s="1"/>
      <c r="P238" s="1"/>
      <c r="Q238" s="1"/>
      <c r="R238" s="1"/>
      <c r="S238" s="1"/>
      <c r="T238" s="1"/>
      <c r="U238" s="1"/>
    </row>
    <row r="239" spans="1:21" x14ac:dyDescent="0.25">
      <c r="A239" s="1"/>
      <c r="B239" s="1"/>
      <c r="C239" s="1"/>
      <c r="D239" s="1"/>
      <c r="E239" s="1"/>
      <c r="F239" s="1"/>
      <c r="G239" s="1"/>
      <c r="H239" s="1"/>
      <c r="I239" s="1"/>
      <c r="J239" s="1"/>
      <c r="K239" s="1"/>
      <c r="L239" s="1"/>
      <c r="M239" s="1"/>
      <c r="N239" s="1"/>
      <c r="O239" s="1"/>
      <c r="P239" s="1"/>
      <c r="Q239" s="1"/>
      <c r="R239" s="1"/>
      <c r="S239" s="1"/>
      <c r="T239" s="1"/>
      <c r="U239" s="1"/>
    </row>
    <row r="240" spans="1:21" x14ac:dyDescent="0.25">
      <c r="A240" s="1"/>
      <c r="B240" s="1"/>
      <c r="C240" s="1"/>
      <c r="D240" s="1"/>
      <c r="E240" s="1"/>
      <c r="F240" s="1"/>
      <c r="G240" s="1"/>
      <c r="H240" s="1"/>
      <c r="I240" s="1"/>
      <c r="J240" s="1"/>
      <c r="K240" s="1"/>
      <c r="L240" s="1"/>
      <c r="M240" s="1"/>
      <c r="N240" s="1"/>
      <c r="O240" s="1"/>
      <c r="P240" s="1"/>
      <c r="Q240" s="1"/>
      <c r="R240" s="1"/>
      <c r="S240" s="1"/>
      <c r="T240" s="1"/>
      <c r="U240" s="1"/>
    </row>
    <row r="241" spans="1:21" x14ac:dyDescent="0.25">
      <c r="A241" s="1"/>
      <c r="B241" s="1"/>
      <c r="C241" s="1"/>
      <c r="D241" s="1"/>
      <c r="E241" s="1"/>
      <c r="F241" s="1"/>
      <c r="G241" s="1"/>
      <c r="H241" s="1"/>
      <c r="I241" s="1"/>
      <c r="J241" s="1"/>
      <c r="K241" s="1"/>
      <c r="L241" s="1"/>
      <c r="M241" s="1"/>
      <c r="N241" s="1"/>
      <c r="O241" s="1"/>
      <c r="P241" s="1"/>
      <c r="Q241" s="1"/>
      <c r="R241" s="1"/>
      <c r="S241" s="1"/>
      <c r="T241" s="1"/>
      <c r="U241" s="1"/>
    </row>
    <row r="242" spans="1:21" x14ac:dyDescent="0.25">
      <c r="A242" s="1"/>
      <c r="B242" s="1"/>
      <c r="C242" s="1"/>
      <c r="D242" s="1"/>
      <c r="E242" s="1"/>
      <c r="F242" s="1"/>
      <c r="G242" s="1"/>
      <c r="H242" s="1"/>
      <c r="I242" s="1"/>
      <c r="J242" s="1"/>
      <c r="K242" s="1"/>
      <c r="L242" s="1"/>
      <c r="M242" s="1"/>
      <c r="N242" s="1"/>
      <c r="O242" s="1"/>
      <c r="P242" s="1"/>
      <c r="Q242" s="1"/>
      <c r="R242" s="1"/>
      <c r="S242" s="1"/>
      <c r="T242" s="1"/>
      <c r="U242" s="1"/>
    </row>
    <row r="243" spans="1:21" x14ac:dyDescent="0.25">
      <c r="A243" s="1"/>
      <c r="B243" s="1"/>
      <c r="C243" s="1"/>
      <c r="D243" s="1"/>
      <c r="E243" s="1"/>
      <c r="F243" s="1"/>
      <c r="G243" s="1"/>
      <c r="H243" s="1"/>
      <c r="I243" s="1"/>
      <c r="J243" s="1"/>
      <c r="K243" s="1"/>
      <c r="L243" s="1"/>
      <c r="M243" s="1"/>
      <c r="N243" s="1"/>
      <c r="O243" s="1"/>
      <c r="P243" s="1"/>
      <c r="Q243" s="1"/>
      <c r="R243" s="1"/>
      <c r="S243" s="1"/>
      <c r="T243" s="1"/>
      <c r="U243" s="1"/>
    </row>
    <row r="244" spans="1:21" x14ac:dyDescent="0.25">
      <c r="A244" s="1"/>
      <c r="B244" s="1"/>
      <c r="C244" s="1"/>
      <c r="D244" s="1"/>
      <c r="E244" s="1"/>
      <c r="F244" s="1"/>
      <c r="G244" s="1"/>
      <c r="H244" s="1"/>
      <c r="I244" s="1"/>
      <c r="J244" s="1"/>
      <c r="K244" s="1"/>
      <c r="L244" s="1"/>
      <c r="M244" s="1"/>
      <c r="N244" s="1"/>
      <c r="O244" s="1"/>
      <c r="P244" s="1"/>
      <c r="Q244" s="1"/>
      <c r="R244" s="1"/>
      <c r="S244" s="1"/>
      <c r="T244" s="1"/>
      <c r="U244" s="1"/>
    </row>
    <row r="245" spans="1:21" x14ac:dyDescent="0.25">
      <c r="A245" s="1"/>
      <c r="B245" s="1"/>
      <c r="C245" s="1"/>
      <c r="D245" s="1"/>
      <c r="E245" s="1"/>
      <c r="F245" s="1"/>
      <c r="G245" s="1"/>
      <c r="H245" s="1"/>
      <c r="I245" s="1"/>
      <c r="J245" s="1"/>
      <c r="K245" s="1"/>
      <c r="L245" s="1"/>
      <c r="M245" s="1"/>
      <c r="N245" s="1"/>
      <c r="O245" s="1"/>
      <c r="P245" s="1"/>
      <c r="Q245" s="1"/>
      <c r="R245" s="1"/>
      <c r="S245" s="1"/>
      <c r="T245" s="1"/>
      <c r="U245" s="1"/>
    </row>
    <row r="246" spans="1:21" x14ac:dyDescent="0.25">
      <c r="A246" s="1"/>
      <c r="B246" s="1"/>
      <c r="C246" s="1"/>
      <c r="D246" s="1"/>
      <c r="E246" s="1"/>
      <c r="F246" s="1"/>
      <c r="G246" s="1"/>
      <c r="H246" s="1"/>
      <c r="I246" s="1"/>
      <c r="J246" s="1"/>
      <c r="K246" s="1"/>
      <c r="L246" s="1"/>
      <c r="M246" s="1"/>
      <c r="N246" s="1"/>
      <c r="O246" s="1"/>
      <c r="P246" s="1"/>
      <c r="Q246" s="1"/>
      <c r="R246" s="1"/>
      <c r="S246" s="1"/>
      <c r="T246" s="1"/>
      <c r="U246" s="1"/>
    </row>
    <row r="247" spans="1:21" x14ac:dyDescent="0.25">
      <c r="A247" s="1"/>
      <c r="B247" s="1"/>
      <c r="C247" s="1"/>
      <c r="D247" s="1"/>
      <c r="E247" s="1"/>
      <c r="F247" s="1"/>
      <c r="G247" s="1"/>
      <c r="H247" s="1"/>
      <c r="I247" s="1"/>
      <c r="J247" s="1"/>
      <c r="K247" s="1"/>
      <c r="L247" s="1"/>
      <c r="M247" s="1"/>
      <c r="N247" s="1"/>
      <c r="O247" s="1"/>
      <c r="P247" s="1"/>
      <c r="Q247" s="1"/>
      <c r="R247" s="1"/>
      <c r="S247" s="1"/>
      <c r="T247" s="1"/>
      <c r="U247" s="1"/>
    </row>
    <row r="248" spans="1:21" x14ac:dyDescent="0.25">
      <c r="A248" s="1"/>
      <c r="B248" s="1"/>
      <c r="C248" s="1"/>
      <c r="D248" s="1"/>
      <c r="E248" s="1"/>
      <c r="F248" s="1"/>
      <c r="G248" s="1"/>
      <c r="H248" s="1"/>
      <c r="I248" s="1"/>
      <c r="J248" s="1"/>
      <c r="K248" s="1"/>
      <c r="L248" s="1"/>
      <c r="M248" s="1"/>
      <c r="N248" s="1"/>
      <c r="O248" s="1"/>
      <c r="P248" s="1"/>
      <c r="Q248" s="1"/>
      <c r="R248" s="1"/>
      <c r="S248" s="1"/>
      <c r="T248" s="1"/>
      <c r="U248" s="1"/>
    </row>
    <row r="249" spans="1:21" x14ac:dyDescent="0.25">
      <c r="A249" s="1"/>
      <c r="B249" s="1"/>
      <c r="C249" s="1"/>
      <c r="D249" s="1"/>
      <c r="E249" s="1"/>
      <c r="F249" s="1"/>
      <c r="G249" s="1"/>
      <c r="H249" s="1"/>
      <c r="I249" s="1"/>
      <c r="J249" s="1"/>
      <c r="K249" s="1"/>
      <c r="L249" s="1"/>
      <c r="M249" s="1"/>
      <c r="N249" s="1"/>
      <c r="O249" s="1"/>
      <c r="P249" s="1"/>
      <c r="Q249" s="1"/>
      <c r="R249" s="1"/>
      <c r="S249" s="1"/>
      <c r="T249" s="1"/>
      <c r="U249" s="1"/>
    </row>
    <row r="250" spans="1:21" x14ac:dyDescent="0.25">
      <c r="A250" s="1"/>
      <c r="B250" s="1"/>
      <c r="C250" s="1"/>
      <c r="D250" s="1"/>
      <c r="E250" s="1"/>
      <c r="F250" s="1"/>
      <c r="G250" s="1"/>
      <c r="H250" s="1"/>
      <c r="I250" s="1"/>
      <c r="J250" s="1"/>
      <c r="K250" s="1"/>
      <c r="L250" s="1"/>
      <c r="M250" s="1"/>
      <c r="N250" s="1"/>
      <c r="O250" s="1"/>
      <c r="P250" s="1"/>
      <c r="Q250" s="1"/>
      <c r="R250" s="1"/>
      <c r="S250" s="1"/>
      <c r="T250" s="1"/>
      <c r="U250" s="1"/>
    </row>
    <row r="251" spans="1:21" x14ac:dyDescent="0.25">
      <c r="A251" s="1"/>
      <c r="B251" s="1"/>
      <c r="C251" s="1"/>
      <c r="D251" s="1"/>
      <c r="E251" s="1"/>
      <c r="F251" s="1"/>
      <c r="G251" s="1"/>
      <c r="H251" s="1"/>
      <c r="I251" s="1"/>
      <c r="J251" s="1"/>
      <c r="K251" s="1"/>
      <c r="L251" s="1"/>
      <c r="M251" s="1"/>
      <c r="N251" s="1"/>
      <c r="O251" s="1"/>
      <c r="P251" s="1"/>
      <c r="Q251" s="1"/>
      <c r="R251" s="1"/>
      <c r="S251" s="1"/>
      <c r="T251" s="1"/>
      <c r="U251" s="1"/>
    </row>
    <row r="252" spans="1:21" x14ac:dyDescent="0.25">
      <c r="A252" s="1"/>
      <c r="B252" s="1"/>
      <c r="C252" s="1"/>
      <c r="D252" s="1"/>
      <c r="E252" s="1"/>
      <c r="F252" s="1"/>
      <c r="G252" s="1"/>
      <c r="H252" s="1"/>
      <c r="I252" s="1"/>
      <c r="J252" s="1"/>
      <c r="K252" s="1"/>
      <c r="L252" s="1"/>
      <c r="M252" s="1"/>
      <c r="N252" s="1"/>
      <c r="O252" s="1"/>
      <c r="P252" s="1"/>
      <c r="Q252" s="1"/>
      <c r="R252" s="1"/>
      <c r="S252" s="1"/>
      <c r="T252" s="1"/>
      <c r="U252" s="1"/>
    </row>
    <row r="253" spans="1:21" x14ac:dyDescent="0.25">
      <c r="A253" s="1"/>
      <c r="B253" s="1"/>
      <c r="C253" s="1"/>
      <c r="D253" s="1"/>
      <c r="E253" s="1"/>
      <c r="F253" s="1"/>
      <c r="G253" s="1"/>
      <c r="H253" s="1"/>
      <c r="I253" s="1"/>
      <c r="J253" s="1"/>
      <c r="K253" s="1"/>
      <c r="L253" s="1"/>
      <c r="M253" s="1"/>
      <c r="N253" s="1"/>
      <c r="O253" s="1"/>
      <c r="P253" s="1"/>
      <c r="Q253" s="1"/>
      <c r="R253" s="1"/>
      <c r="S253" s="1"/>
      <c r="T253" s="1"/>
      <c r="U253" s="1"/>
    </row>
    <row r="254" spans="1:21" x14ac:dyDescent="0.25">
      <c r="A254" s="1"/>
      <c r="B254" s="1"/>
      <c r="C254" s="1"/>
      <c r="D254" s="1"/>
      <c r="E254" s="1"/>
      <c r="F254" s="1"/>
      <c r="G254" s="1"/>
      <c r="H254" s="1"/>
      <c r="I254" s="1"/>
      <c r="J254" s="1"/>
      <c r="K254" s="1"/>
      <c r="L254" s="1"/>
      <c r="M254" s="1"/>
      <c r="N254" s="1"/>
      <c r="O254" s="1"/>
      <c r="P254" s="1"/>
      <c r="Q254" s="1"/>
      <c r="R254" s="1"/>
      <c r="S254" s="1"/>
      <c r="T254" s="1"/>
      <c r="U254" s="1"/>
    </row>
    <row r="255" spans="1:21" x14ac:dyDescent="0.25">
      <c r="A255" s="1"/>
      <c r="B255" s="1"/>
      <c r="C255" s="1"/>
      <c r="D255" s="1"/>
      <c r="E255" s="1"/>
      <c r="F255" s="1"/>
      <c r="G255" s="1"/>
      <c r="H255" s="1"/>
      <c r="I255" s="1"/>
      <c r="J255" s="1"/>
      <c r="K255" s="1"/>
      <c r="L255" s="1"/>
      <c r="M255" s="1"/>
      <c r="N255" s="1"/>
      <c r="O255" s="1"/>
      <c r="P255" s="1"/>
      <c r="Q255" s="1"/>
      <c r="R255" s="1"/>
      <c r="S255" s="1"/>
      <c r="T255" s="1"/>
      <c r="U255" s="1"/>
    </row>
    <row r="256" spans="1:21" x14ac:dyDescent="0.25">
      <c r="A256" s="1"/>
      <c r="B256" s="1"/>
      <c r="C256" s="1"/>
      <c r="D256" s="1"/>
      <c r="E256" s="1"/>
      <c r="F256" s="1"/>
      <c r="G256" s="1"/>
      <c r="H256" s="1"/>
      <c r="I256" s="1"/>
      <c r="J256" s="1"/>
      <c r="K256" s="1"/>
      <c r="L256" s="1"/>
      <c r="M256" s="1"/>
      <c r="N256" s="1"/>
      <c r="O256" s="1"/>
      <c r="P256" s="1"/>
      <c r="Q256" s="1"/>
      <c r="R256" s="1"/>
      <c r="S256" s="1"/>
      <c r="T256" s="1"/>
      <c r="U256" s="1"/>
    </row>
    <row r="257" spans="1:21" x14ac:dyDescent="0.25">
      <c r="A257" s="1"/>
      <c r="B257" s="1"/>
      <c r="C257" s="1"/>
      <c r="D257" s="1"/>
      <c r="E257" s="1"/>
      <c r="F257" s="1"/>
      <c r="G257" s="1"/>
      <c r="H257" s="1"/>
      <c r="I257" s="1"/>
      <c r="J257" s="1"/>
      <c r="K257" s="1"/>
      <c r="L257" s="1"/>
      <c r="M257" s="1"/>
      <c r="N257" s="1"/>
      <c r="O257" s="1"/>
      <c r="P257" s="1"/>
      <c r="Q257" s="1"/>
      <c r="R257" s="1"/>
      <c r="S257" s="1"/>
      <c r="T257" s="1"/>
      <c r="U257" s="1"/>
    </row>
    <row r="258" spans="1:21" x14ac:dyDescent="0.25">
      <c r="A258" s="1"/>
      <c r="B258" s="1"/>
      <c r="C258" s="1"/>
      <c r="D258" s="1"/>
      <c r="E258" s="1"/>
      <c r="F258" s="1"/>
      <c r="G258" s="1"/>
      <c r="H258" s="1"/>
      <c r="I258" s="1"/>
      <c r="J258" s="1"/>
      <c r="K258" s="1"/>
      <c r="L258" s="1"/>
      <c r="M258" s="1"/>
      <c r="N258" s="1"/>
      <c r="O258" s="1"/>
      <c r="P258" s="1"/>
      <c r="Q258" s="1"/>
      <c r="R258" s="1"/>
      <c r="S258" s="1"/>
      <c r="T258" s="1"/>
      <c r="U258" s="1"/>
    </row>
    <row r="259" spans="1:21" x14ac:dyDescent="0.25">
      <c r="A259" s="1"/>
      <c r="B259" s="1"/>
      <c r="C259" s="1"/>
      <c r="D259" s="1"/>
      <c r="E259" s="1"/>
      <c r="F259" s="1"/>
      <c r="G259" s="1"/>
      <c r="H259" s="1"/>
      <c r="I259" s="1"/>
      <c r="J259" s="1"/>
      <c r="K259" s="1"/>
      <c r="L259" s="1"/>
      <c r="M259" s="1"/>
      <c r="N259" s="1"/>
      <c r="O259" s="1"/>
      <c r="P259" s="1"/>
      <c r="Q259" s="1"/>
      <c r="R259" s="1"/>
      <c r="S259" s="1"/>
      <c r="T259" s="1"/>
      <c r="U259" s="1"/>
    </row>
    <row r="260" spans="1:21" x14ac:dyDescent="0.25">
      <c r="A260" s="1"/>
      <c r="B260" s="1"/>
      <c r="C260" s="1"/>
      <c r="D260" s="1"/>
      <c r="E260" s="1"/>
      <c r="F260" s="1"/>
      <c r="G260" s="1"/>
      <c r="H260" s="1"/>
      <c r="I260" s="1"/>
      <c r="J260" s="1"/>
      <c r="K260" s="1"/>
      <c r="L260" s="1"/>
      <c r="M260" s="1"/>
      <c r="N260" s="1"/>
      <c r="O260" s="1"/>
      <c r="P260" s="1"/>
      <c r="Q260" s="1"/>
      <c r="R260" s="1"/>
      <c r="S260" s="1"/>
      <c r="T260" s="1"/>
      <c r="U260" s="1"/>
    </row>
    <row r="261" spans="1:21" x14ac:dyDescent="0.25">
      <c r="A261" s="1"/>
      <c r="B261" s="1"/>
      <c r="C261" s="1"/>
      <c r="D261" s="1"/>
      <c r="E261" s="1"/>
      <c r="F261" s="1"/>
      <c r="G261" s="1"/>
      <c r="H261" s="1"/>
      <c r="I261" s="1"/>
      <c r="J261" s="1"/>
      <c r="K261" s="1"/>
      <c r="L261" s="1"/>
      <c r="M261" s="1"/>
      <c r="N261" s="1"/>
      <c r="O261" s="1"/>
      <c r="P261" s="1"/>
      <c r="Q261" s="1"/>
      <c r="R261" s="1"/>
      <c r="S261" s="1"/>
      <c r="T261" s="1"/>
      <c r="U261" s="1"/>
    </row>
    <row r="262" spans="1:21" x14ac:dyDescent="0.25">
      <c r="A262" s="1"/>
      <c r="B262" s="1"/>
      <c r="C262" s="1"/>
      <c r="D262" s="1"/>
      <c r="E262" s="1"/>
      <c r="F262" s="1"/>
      <c r="G262" s="1"/>
      <c r="H262" s="1"/>
      <c r="I262" s="1"/>
      <c r="J262" s="1"/>
      <c r="K262" s="1"/>
      <c r="L262" s="1"/>
      <c r="M262" s="1"/>
      <c r="N262" s="1"/>
      <c r="O262" s="1"/>
      <c r="P262" s="1"/>
      <c r="Q262" s="1"/>
      <c r="R262" s="1"/>
      <c r="S262" s="1"/>
      <c r="T262" s="1"/>
      <c r="U262" s="1"/>
    </row>
    <row r="263" spans="1:21" x14ac:dyDescent="0.25">
      <c r="A263" s="1"/>
      <c r="B263" s="1"/>
      <c r="C263" s="1"/>
      <c r="D263" s="1"/>
      <c r="E263" s="1"/>
      <c r="F263" s="1"/>
      <c r="G263" s="1"/>
      <c r="H263" s="1"/>
      <c r="I263" s="1"/>
      <c r="J263" s="1"/>
      <c r="K263" s="1"/>
      <c r="L263" s="1"/>
      <c r="M263" s="1"/>
      <c r="N263" s="1"/>
      <c r="O263" s="1"/>
      <c r="P263" s="1"/>
      <c r="Q263" s="1"/>
      <c r="R263" s="1"/>
      <c r="S263" s="1"/>
      <c r="T263" s="1"/>
      <c r="U263" s="1"/>
    </row>
    <row r="264" spans="1:21" x14ac:dyDescent="0.25">
      <c r="A264" s="1"/>
      <c r="B264" s="1"/>
      <c r="C264" s="1"/>
      <c r="D264" s="1"/>
      <c r="E264" s="1"/>
      <c r="F264" s="1"/>
      <c r="G264" s="1"/>
      <c r="H264" s="1"/>
      <c r="I264" s="1"/>
      <c r="J264" s="1"/>
      <c r="K264" s="1"/>
      <c r="L264" s="1"/>
      <c r="M264" s="1"/>
      <c r="N264" s="1"/>
      <c r="O264" s="1"/>
      <c r="P264" s="1"/>
      <c r="Q264" s="1"/>
      <c r="R264" s="1"/>
      <c r="S264" s="1"/>
      <c r="T264" s="1"/>
      <c r="U264" s="1"/>
    </row>
    <row r="265" spans="1:21" x14ac:dyDescent="0.25">
      <c r="A265" s="1"/>
      <c r="B265" s="1"/>
      <c r="C265" s="1"/>
      <c r="D265" s="1"/>
      <c r="E265" s="1"/>
      <c r="F265" s="1"/>
      <c r="G265" s="1"/>
      <c r="H265" s="1"/>
      <c r="I265" s="1"/>
      <c r="J265" s="1"/>
      <c r="K265" s="1"/>
      <c r="L265" s="1"/>
      <c r="M265" s="1"/>
      <c r="N265" s="1"/>
      <c r="O265" s="1"/>
      <c r="P265" s="1"/>
      <c r="Q265" s="1"/>
      <c r="R265" s="1"/>
      <c r="S265" s="1"/>
      <c r="T265" s="1"/>
      <c r="U265" s="1"/>
    </row>
    <row r="266" spans="1:21" x14ac:dyDescent="0.25">
      <c r="A266" s="1"/>
      <c r="B266" s="1"/>
      <c r="C266" s="1"/>
      <c r="D266" s="1"/>
      <c r="E266" s="1"/>
      <c r="F266" s="1"/>
      <c r="G266" s="1"/>
      <c r="H266" s="1"/>
      <c r="I266" s="1"/>
      <c r="J266" s="1"/>
      <c r="K266" s="1"/>
      <c r="L266" s="1"/>
      <c r="M266" s="1"/>
      <c r="N266" s="1"/>
      <c r="O266" s="1"/>
      <c r="P266" s="1"/>
      <c r="Q266" s="1"/>
      <c r="R266" s="1"/>
      <c r="S266" s="1"/>
      <c r="T266" s="1"/>
      <c r="U266" s="1"/>
    </row>
    <row r="267" spans="1:21" x14ac:dyDescent="0.25">
      <c r="A267" s="1"/>
      <c r="B267" s="1"/>
      <c r="C267" s="1"/>
      <c r="D267" s="1"/>
      <c r="E267" s="1"/>
      <c r="F267" s="1"/>
      <c r="G267" s="1"/>
      <c r="H267" s="1"/>
      <c r="I267" s="1"/>
      <c r="J267" s="1"/>
      <c r="K267" s="1"/>
      <c r="L267" s="1"/>
      <c r="M267" s="1"/>
      <c r="N267" s="1"/>
      <c r="O267" s="1"/>
      <c r="P267" s="1"/>
      <c r="Q267" s="1"/>
      <c r="R267" s="1"/>
      <c r="S267" s="1"/>
      <c r="T267" s="1"/>
      <c r="U267" s="1"/>
    </row>
    <row r="268" spans="1:21" x14ac:dyDescent="0.25">
      <c r="A268" s="1"/>
      <c r="B268" s="1"/>
      <c r="C268" s="1"/>
      <c r="D268" s="1"/>
      <c r="E268" s="1"/>
      <c r="F268" s="1"/>
      <c r="G268" s="1"/>
      <c r="H268" s="1"/>
      <c r="I268" s="1"/>
      <c r="J268" s="1"/>
      <c r="K268" s="1"/>
      <c r="L268" s="1"/>
      <c r="M268" s="1"/>
      <c r="N268" s="1"/>
      <c r="O268" s="1"/>
      <c r="P268" s="1"/>
      <c r="Q268" s="1"/>
      <c r="R268" s="1"/>
      <c r="S268" s="1"/>
      <c r="T268" s="1"/>
      <c r="U268" s="1"/>
    </row>
    <row r="269" spans="1:21" x14ac:dyDescent="0.25">
      <c r="A269" s="1"/>
      <c r="B269" s="1"/>
      <c r="C269" s="1"/>
      <c r="D269" s="1"/>
      <c r="E269" s="1"/>
      <c r="F269" s="1"/>
      <c r="G269" s="1"/>
      <c r="H269" s="1"/>
      <c r="I269" s="1"/>
      <c r="J269" s="1"/>
      <c r="K269" s="1"/>
      <c r="L269" s="1"/>
      <c r="M269" s="1"/>
      <c r="N269" s="1"/>
      <c r="O269" s="1"/>
      <c r="P269" s="1"/>
      <c r="Q269" s="1"/>
      <c r="R269" s="1"/>
      <c r="S269" s="1"/>
      <c r="T269" s="1"/>
      <c r="U269" s="1"/>
    </row>
    <row r="270" spans="1:21" x14ac:dyDescent="0.25">
      <c r="A270" s="1"/>
      <c r="B270" s="1"/>
      <c r="C270" s="1"/>
      <c r="D270" s="1"/>
      <c r="E270" s="1"/>
      <c r="F270" s="1"/>
      <c r="G270" s="1"/>
      <c r="H270" s="1"/>
      <c r="I270" s="1"/>
      <c r="J270" s="1"/>
      <c r="K270" s="1"/>
      <c r="L270" s="1"/>
      <c r="M270" s="1"/>
      <c r="N270" s="1"/>
      <c r="O270" s="1"/>
      <c r="P270" s="1"/>
      <c r="Q270" s="1"/>
      <c r="R270" s="1"/>
      <c r="S270" s="1"/>
      <c r="T270" s="1"/>
      <c r="U270" s="1"/>
    </row>
    <row r="271" spans="1:21" x14ac:dyDescent="0.25">
      <c r="A271" s="1"/>
      <c r="B271" s="1"/>
      <c r="C271" s="1"/>
      <c r="D271" s="1"/>
      <c r="E271" s="1"/>
      <c r="F271" s="1"/>
      <c r="G271" s="1"/>
      <c r="H271" s="1"/>
      <c r="I271" s="1"/>
      <c r="J271" s="1"/>
      <c r="K271" s="1"/>
      <c r="L271" s="1"/>
      <c r="M271" s="1"/>
      <c r="N271" s="1"/>
      <c r="O271" s="1"/>
      <c r="P271" s="1"/>
      <c r="Q271" s="1"/>
      <c r="R271" s="1"/>
      <c r="S271" s="1"/>
      <c r="T271" s="1"/>
      <c r="U271" s="1"/>
    </row>
    <row r="272" spans="1:21" x14ac:dyDescent="0.25">
      <c r="A272" s="1"/>
      <c r="B272" s="1"/>
      <c r="C272" s="1"/>
      <c r="D272" s="1"/>
      <c r="E272" s="1"/>
      <c r="F272" s="1"/>
      <c r="G272" s="1"/>
      <c r="H272" s="1"/>
      <c r="I272" s="1"/>
      <c r="J272" s="1"/>
      <c r="K272" s="1"/>
      <c r="L272" s="1"/>
      <c r="M272" s="1"/>
      <c r="N272" s="1"/>
      <c r="O272" s="1"/>
      <c r="P272" s="1"/>
      <c r="Q272" s="1"/>
      <c r="R272" s="1"/>
      <c r="S272" s="1"/>
      <c r="T272" s="1"/>
      <c r="U272" s="1"/>
    </row>
    <row r="273" spans="1:21" x14ac:dyDescent="0.25">
      <c r="A273" s="1"/>
      <c r="B273" s="1"/>
      <c r="C273" s="1"/>
      <c r="D273" s="1"/>
      <c r="E273" s="1"/>
      <c r="F273" s="1"/>
      <c r="G273" s="1"/>
      <c r="H273" s="1"/>
      <c r="I273" s="1"/>
      <c r="J273" s="1"/>
      <c r="K273" s="1"/>
      <c r="L273" s="1"/>
      <c r="M273" s="1"/>
      <c r="N273" s="1"/>
      <c r="O273" s="1"/>
      <c r="P273" s="1"/>
      <c r="Q273" s="1"/>
      <c r="R273" s="1"/>
      <c r="S273" s="1"/>
      <c r="T273" s="1"/>
      <c r="U273" s="1"/>
    </row>
    <row r="274" spans="1:21" x14ac:dyDescent="0.25">
      <c r="A274" s="1"/>
      <c r="B274" s="1"/>
      <c r="C274" s="1"/>
      <c r="D274" s="1"/>
      <c r="E274" s="1"/>
      <c r="F274" s="1"/>
      <c r="G274" s="1"/>
      <c r="H274" s="1"/>
      <c r="I274" s="1"/>
      <c r="J274" s="1"/>
      <c r="K274" s="1"/>
      <c r="L274" s="1"/>
      <c r="M274" s="1"/>
      <c r="N274" s="1"/>
      <c r="O274" s="1"/>
      <c r="P274" s="1"/>
      <c r="Q274" s="1"/>
      <c r="R274" s="1"/>
      <c r="S274" s="1"/>
      <c r="T274" s="1"/>
      <c r="U274" s="1"/>
    </row>
    <row r="275" spans="1:21" x14ac:dyDescent="0.25">
      <c r="A275" s="1"/>
      <c r="B275" s="1"/>
      <c r="C275" s="1"/>
      <c r="D275" s="1"/>
      <c r="E275" s="1"/>
      <c r="F275" s="1"/>
      <c r="G275" s="1"/>
      <c r="H275" s="1"/>
      <c r="I275" s="1"/>
      <c r="J275" s="1"/>
      <c r="K275" s="1"/>
      <c r="L275" s="1"/>
      <c r="M275" s="1"/>
      <c r="N275" s="1"/>
      <c r="O275" s="1"/>
      <c r="P275" s="1"/>
      <c r="Q275" s="1"/>
      <c r="R275" s="1"/>
      <c r="S275" s="1"/>
      <c r="T275" s="1"/>
      <c r="U275" s="1"/>
    </row>
    <row r="276" spans="1:21" x14ac:dyDescent="0.25">
      <c r="A276" s="1"/>
      <c r="B276" s="1"/>
      <c r="C276" s="1"/>
      <c r="D276" s="1"/>
      <c r="E276" s="1"/>
      <c r="F276" s="1"/>
      <c r="G276" s="1"/>
      <c r="H276" s="1"/>
      <c r="I276" s="1"/>
      <c r="J276" s="1"/>
      <c r="K276" s="1"/>
      <c r="L276" s="1"/>
      <c r="M276" s="1"/>
      <c r="N276" s="1"/>
      <c r="O276" s="1"/>
      <c r="P276" s="1"/>
      <c r="Q276" s="1"/>
      <c r="R276" s="1"/>
      <c r="S276" s="1"/>
      <c r="T276" s="1"/>
      <c r="U276" s="1"/>
    </row>
    <row r="277" spans="1:21" x14ac:dyDescent="0.25">
      <c r="A277" s="1"/>
      <c r="B277" s="1"/>
      <c r="C277" s="1"/>
      <c r="D277" s="1"/>
      <c r="E277" s="1"/>
      <c r="F277" s="1"/>
      <c r="G277" s="1"/>
      <c r="H277" s="1"/>
      <c r="I277" s="1"/>
      <c r="J277" s="1"/>
      <c r="K277" s="1"/>
      <c r="L277" s="1"/>
      <c r="M277" s="1"/>
      <c r="N277" s="1"/>
      <c r="O277" s="1"/>
      <c r="P277" s="1"/>
      <c r="Q277" s="1"/>
      <c r="R277" s="1"/>
      <c r="S277" s="1"/>
      <c r="T277" s="1"/>
      <c r="U277" s="1"/>
    </row>
    <row r="278" spans="1:21" x14ac:dyDescent="0.25">
      <c r="A278" s="1"/>
      <c r="B278" s="1"/>
      <c r="C278" s="1"/>
      <c r="D278" s="1"/>
      <c r="E278" s="1"/>
      <c r="F278" s="1"/>
      <c r="G278" s="1"/>
      <c r="H278" s="1"/>
      <c r="I278" s="1"/>
      <c r="J278" s="1"/>
      <c r="K278" s="1"/>
      <c r="L278" s="1"/>
      <c r="M278" s="1"/>
      <c r="N278" s="1"/>
      <c r="O278" s="1"/>
      <c r="P278" s="1"/>
      <c r="Q278" s="1"/>
      <c r="R278" s="1"/>
      <c r="S278" s="1"/>
      <c r="T278" s="1"/>
      <c r="U278" s="1"/>
    </row>
    <row r="279" spans="1:21" x14ac:dyDescent="0.25">
      <c r="A279" s="1"/>
      <c r="B279" s="1"/>
      <c r="C279" s="1"/>
      <c r="D279" s="1"/>
      <c r="E279" s="1"/>
      <c r="F279" s="1"/>
      <c r="G279" s="1"/>
      <c r="H279" s="1"/>
      <c r="I279" s="1"/>
      <c r="J279" s="1"/>
      <c r="K279" s="1"/>
      <c r="L279" s="1"/>
      <c r="M279" s="1"/>
      <c r="N279" s="1"/>
      <c r="O279" s="1"/>
      <c r="P279" s="1"/>
      <c r="Q279" s="1"/>
      <c r="R279" s="1"/>
      <c r="S279" s="1"/>
      <c r="T279" s="1"/>
      <c r="U279" s="1"/>
    </row>
    <row r="280" spans="1:21" x14ac:dyDescent="0.25">
      <c r="A280" s="1"/>
      <c r="B280" s="1"/>
      <c r="C280" s="1"/>
      <c r="D280" s="1"/>
      <c r="E280" s="1"/>
      <c r="F280" s="1"/>
      <c r="G280" s="1"/>
      <c r="H280" s="1"/>
      <c r="I280" s="1"/>
      <c r="J280" s="1"/>
      <c r="K280" s="1"/>
      <c r="L280" s="1"/>
      <c r="M280" s="1"/>
      <c r="N280" s="1"/>
      <c r="O280" s="1"/>
      <c r="P280" s="1"/>
      <c r="Q280" s="1"/>
      <c r="R280" s="1"/>
      <c r="S280" s="1"/>
      <c r="T280" s="1"/>
      <c r="U280" s="1"/>
    </row>
    <row r="281" spans="1:21" x14ac:dyDescent="0.25">
      <c r="A281" s="1"/>
      <c r="B281" s="1"/>
      <c r="C281" s="1"/>
      <c r="D281" s="1"/>
      <c r="E281" s="1"/>
      <c r="F281" s="1"/>
      <c r="G281" s="1"/>
      <c r="H281" s="1"/>
      <c r="I281" s="1"/>
      <c r="J281" s="1"/>
      <c r="K281" s="1"/>
      <c r="L281" s="1"/>
      <c r="M281" s="1"/>
      <c r="N281" s="1"/>
      <c r="O281" s="1"/>
      <c r="P281" s="1"/>
      <c r="Q281" s="1"/>
      <c r="R281" s="1"/>
      <c r="S281" s="1"/>
      <c r="T281" s="1"/>
      <c r="U281" s="1"/>
    </row>
    <row r="282" spans="1:21" x14ac:dyDescent="0.25">
      <c r="A282" s="1"/>
      <c r="B282" s="1"/>
      <c r="C282" s="1"/>
      <c r="D282" s="1"/>
      <c r="E282" s="1"/>
      <c r="F282" s="1"/>
      <c r="G282" s="1"/>
      <c r="H282" s="1"/>
      <c r="I282" s="1"/>
      <c r="J282" s="1"/>
      <c r="K282" s="1"/>
      <c r="L282" s="1"/>
      <c r="M282" s="1"/>
      <c r="N282" s="1"/>
      <c r="O282" s="1"/>
      <c r="P282" s="1"/>
      <c r="Q282" s="1"/>
      <c r="R282" s="1"/>
      <c r="S282" s="1"/>
      <c r="T282" s="1"/>
      <c r="U282" s="1"/>
    </row>
    <row r="283" spans="1:21" x14ac:dyDescent="0.25">
      <c r="A283" s="1"/>
      <c r="B283" s="1"/>
      <c r="C283" s="1"/>
      <c r="D283" s="1"/>
      <c r="E283" s="1"/>
      <c r="F283" s="1"/>
      <c r="G283" s="1"/>
      <c r="H283" s="1"/>
      <c r="I283" s="1"/>
      <c r="J283" s="1"/>
      <c r="K283" s="1"/>
      <c r="L283" s="1"/>
      <c r="M283" s="1"/>
      <c r="N283" s="1"/>
      <c r="O283" s="1"/>
      <c r="P283" s="1"/>
      <c r="Q283" s="1"/>
      <c r="R283" s="1"/>
      <c r="S283" s="1"/>
      <c r="T283" s="1"/>
      <c r="U283" s="1"/>
    </row>
    <row r="284" spans="1:21" x14ac:dyDescent="0.25">
      <c r="A284" s="1"/>
      <c r="B284" s="1"/>
      <c r="C284" s="1"/>
      <c r="D284" s="1"/>
      <c r="E284" s="1"/>
      <c r="F284" s="1"/>
      <c r="G284" s="1"/>
      <c r="H284" s="1"/>
      <c r="I284" s="1"/>
      <c r="J284" s="1"/>
      <c r="K284" s="1"/>
      <c r="L284" s="1"/>
      <c r="M284" s="1"/>
      <c r="N284" s="1"/>
      <c r="O284" s="1"/>
      <c r="P284" s="1"/>
      <c r="Q284" s="1"/>
      <c r="R284" s="1"/>
      <c r="S284" s="1"/>
      <c r="T284" s="1"/>
      <c r="U284" s="1"/>
    </row>
    <row r="285" spans="1:21" x14ac:dyDescent="0.25">
      <c r="A285" s="1"/>
      <c r="B285" s="1"/>
      <c r="C285" s="1"/>
      <c r="D285" s="1"/>
      <c r="E285" s="1"/>
      <c r="F285" s="1"/>
      <c r="G285" s="1"/>
      <c r="H285" s="1"/>
      <c r="I285" s="1"/>
      <c r="J285" s="1"/>
      <c r="K285" s="1"/>
      <c r="L285" s="1"/>
      <c r="M285" s="1"/>
      <c r="N285" s="1"/>
      <c r="O285" s="1"/>
      <c r="P285" s="1"/>
      <c r="Q285" s="1"/>
      <c r="R285" s="1"/>
      <c r="S285" s="1"/>
      <c r="T285" s="1"/>
      <c r="U285" s="1"/>
    </row>
    <row r="286" spans="1:21" x14ac:dyDescent="0.25">
      <c r="A286" s="1"/>
      <c r="B286" s="1"/>
      <c r="C286" s="1"/>
      <c r="D286" s="1"/>
      <c r="E286" s="1"/>
      <c r="F286" s="1"/>
      <c r="G286" s="1"/>
      <c r="H286" s="1"/>
      <c r="I286" s="1"/>
      <c r="J286" s="1"/>
      <c r="K286" s="1"/>
      <c r="L286" s="1"/>
      <c r="M286" s="1"/>
      <c r="N286" s="1"/>
      <c r="O286" s="1"/>
      <c r="P286" s="1"/>
      <c r="Q286" s="1"/>
      <c r="R286" s="1"/>
      <c r="S286" s="1"/>
      <c r="T286" s="1"/>
      <c r="U286" s="1"/>
    </row>
    <row r="287" spans="1:21" x14ac:dyDescent="0.25">
      <c r="A287" s="1"/>
      <c r="B287" s="1"/>
      <c r="C287" s="1"/>
      <c r="D287" s="1"/>
      <c r="E287" s="1"/>
      <c r="F287" s="1"/>
      <c r="G287" s="1"/>
      <c r="H287" s="1"/>
      <c r="I287" s="1"/>
      <c r="J287" s="1"/>
      <c r="K287" s="1"/>
      <c r="L287" s="1"/>
      <c r="M287" s="1"/>
      <c r="N287" s="1"/>
      <c r="O287" s="1"/>
      <c r="P287" s="1"/>
      <c r="Q287" s="1"/>
      <c r="R287" s="1"/>
      <c r="S287" s="1"/>
      <c r="T287" s="1"/>
      <c r="U287" s="1"/>
    </row>
    <row r="288" spans="1:21" x14ac:dyDescent="0.25">
      <c r="A288" s="1"/>
      <c r="B288" s="1"/>
      <c r="C288" s="1"/>
      <c r="D288" s="1"/>
      <c r="E288" s="1"/>
      <c r="F288" s="1"/>
      <c r="G288" s="1"/>
      <c r="H288" s="1"/>
      <c r="I288" s="1"/>
      <c r="J288" s="1"/>
      <c r="K288" s="1"/>
      <c r="L288" s="1"/>
      <c r="M288" s="1"/>
      <c r="N288" s="1"/>
      <c r="O288" s="1"/>
      <c r="P288" s="1"/>
      <c r="Q288" s="1"/>
      <c r="R288" s="1"/>
      <c r="S288" s="1"/>
      <c r="T288" s="1"/>
      <c r="U288" s="1"/>
    </row>
    <row r="289" spans="1:21" x14ac:dyDescent="0.25">
      <c r="A289" s="1"/>
      <c r="B289" s="1"/>
      <c r="C289" s="1"/>
      <c r="D289" s="1"/>
      <c r="E289" s="1"/>
      <c r="F289" s="1"/>
      <c r="G289" s="1"/>
      <c r="H289" s="1"/>
      <c r="I289" s="1"/>
      <c r="J289" s="1"/>
      <c r="K289" s="1"/>
      <c r="L289" s="1"/>
      <c r="M289" s="1"/>
      <c r="N289" s="1"/>
      <c r="O289" s="1"/>
      <c r="P289" s="1"/>
      <c r="Q289" s="1"/>
      <c r="R289" s="1"/>
      <c r="S289" s="1"/>
      <c r="T289" s="1"/>
      <c r="U289" s="1"/>
    </row>
    <row r="290" spans="1:21" x14ac:dyDescent="0.25">
      <c r="A290" s="1"/>
      <c r="B290" s="1"/>
      <c r="C290" s="1"/>
      <c r="D290" s="1"/>
      <c r="E290" s="1"/>
      <c r="F290" s="1"/>
      <c r="G290" s="1"/>
      <c r="H290" s="1"/>
      <c r="I290" s="1"/>
      <c r="J290" s="1"/>
      <c r="K290" s="1"/>
      <c r="L290" s="1"/>
      <c r="M290" s="1"/>
      <c r="N290" s="1"/>
      <c r="O290" s="1"/>
      <c r="P290" s="1"/>
      <c r="Q290" s="1"/>
      <c r="R290" s="1"/>
      <c r="S290" s="1"/>
      <c r="T290" s="1"/>
      <c r="U290" s="1"/>
    </row>
    <row r="291" spans="1:21" x14ac:dyDescent="0.25">
      <c r="A291" s="1"/>
      <c r="B291" s="1"/>
      <c r="C291" s="1"/>
      <c r="D291" s="1"/>
      <c r="E291" s="1"/>
      <c r="F291" s="1"/>
      <c r="G291" s="1"/>
      <c r="H291" s="1"/>
      <c r="I291" s="1"/>
      <c r="J291" s="1"/>
      <c r="K291" s="1"/>
      <c r="L291" s="1"/>
      <c r="M291" s="1"/>
      <c r="N291" s="1"/>
      <c r="O291" s="1"/>
      <c r="P291" s="1"/>
      <c r="Q291" s="1"/>
      <c r="R291" s="1"/>
      <c r="S291" s="1"/>
      <c r="T291" s="1"/>
      <c r="U291" s="1"/>
    </row>
    <row r="292" spans="1:21" x14ac:dyDescent="0.25">
      <c r="A292" s="1"/>
      <c r="B292" s="1"/>
      <c r="C292" s="1"/>
      <c r="D292" s="1"/>
      <c r="E292" s="1"/>
      <c r="F292" s="1"/>
      <c r="G292" s="1"/>
      <c r="H292" s="1"/>
      <c r="I292" s="1"/>
      <c r="J292" s="1"/>
      <c r="K292" s="1"/>
      <c r="L292" s="1"/>
      <c r="M292" s="1"/>
      <c r="N292" s="1"/>
      <c r="O292" s="1"/>
      <c r="P292" s="1"/>
      <c r="Q292" s="1"/>
      <c r="R292" s="1"/>
      <c r="S292" s="1"/>
      <c r="T292" s="1"/>
      <c r="U292" s="1"/>
    </row>
    <row r="293" spans="1:21" x14ac:dyDescent="0.25">
      <c r="A293" s="1"/>
      <c r="B293" s="1"/>
      <c r="C293" s="1"/>
      <c r="D293" s="1"/>
      <c r="E293" s="1"/>
      <c r="F293" s="1"/>
      <c r="G293" s="1"/>
      <c r="H293" s="1"/>
      <c r="I293" s="1"/>
      <c r="J293" s="1"/>
      <c r="K293" s="1"/>
      <c r="L293" s="1"/>
      <c r="M293" s="1"/>
      <c r="N293" s="1"/>
      <c r="O293" s="1"/>
      <c r="P293" s="1"/>
      <c r="Q293" s="1"/>
      <c r="R293" s="1"/>
      <c r="S293" s="1"/>
      <c r="T293" s="1"/>
      <c r="U293" s="1"/>
    </row>
    <row r="294" spans="1:21" x14ac:dyDescent="0.25">
      <c r="A294" s="1"/>
      <c r="B294" s="1"/>
      <c r="C294" s="1"/>
      <c r="D294" s="1"/>
      <c r="E294" s="1"/>
      <c r="F294" s="1"/>
      <c r="G294" s="1"/>
      <c r="H294" s="1"/>
      <c r="I294" s="1"/>
      <c r="J294" s="1"/>
      <c r="K294" s="1"/>
      <c r="L294" s="1"/>
      <c r="M294" s="1"/>
      <c r="N294" s="1"/>
      <c r="O294" s="1"/>
      <c r="P294" s="1"/>
      <c r="Q294" s="1"/>
      <c r="R294" s="1"/>
      <c r="S294" s="1"/>
      <c r="T294" s="1"/>
      <c r="U294" s="1"/>
    </row>
    <row r="295" spans="1:21" x14ac:dyDescent="0.25">
      <c r="A295" s="1"/>
      <c r="B295" s="1"/>
      <c r="C295" s="1"/>
      <c r="D295" s="1"/>
      <c r="E295" s="1"/>
      <c r="F295" s="1"/>
      <c r="G295" s="1"/>
      <c r="H295" s="1"/>
      <c r="I295" s="1"/>
      <c r="J295" s="1"/>
      <c r="K295" s="1"/>
      <c r="L295" s="1"/>
      <c r="M295" s="1"/>
      <c r="N295" s="1"/>
      <c r="O295" s="1"/>
      <c r="P295" s="1"/>
      <c r="Q295" s="1"/>
      <c r="R295" s="1"/>
      <c r="S295" s="1"/>
      <c r="T295" s="1"/>
      <c r="U295" s="1"/>
    </row>
    <row r="296" spans="1:21" x14ac:dyDescent="0.25">
      <c r="A296" s="1"/>
      <c r="B296" s="1"/>
      <c r="C296" s="1"/>
      <c r="D296" s="1"/>
      <c r="E296" s="1"/>
      <c r="F296" s="1"/>
      <c r="G296" s="1"/>
      <c r="H296" s="1"/>
      <c r="I296" s="1"/>
      <c r="J296" s="1"/>
      <c r="K296" s="1"/>
      <c r="L296" s="1"/>
      <c r="M296" s="1"/>
      <c r="N296" s="1"/>
      <c r="O296" s="1"/>
      <c r="P296" s="1"/>
      <c r="Q296" s="1"/>
      <c r="R296" s="1"/>
      <c r="S296" s="1"/>
      <c r="T296" s="1"/>
      <c r="U296" s="1"/>
    </row>
    <row r="297" spans="1:21" x14ac:dyDescent="0.25">
      <c r="A297" s="1"/>
      <c r="B297" s="1"/>
      <c r="C297" s="1"/>
      <c r="D297" s="1"/>
      <c r="E297" s="1"/>
      <c r="F297" s="1"/>
      <c r="G297" s="1"/>
      <c r="H297" s="1"/>
      <c r="I297" s="1"/>
      <c r="J297" s="1"/>
      <c r="K297" s="1"/>
      <c r="L297" s="1"/>
      <c r="M297" s="1"/>
      <c r="N297" s="1"/>
      <c r="O297" s="1"/>
      <c r="P297" s="1"/>
      <c r="Q297" s="1"/>
      <c r="R297" s="1"/>
      <c r="S297" s="1"/>
      <c r="T297" s="1"/>
      <c r="U297" s="1"/>
    </row>
    <row r="298" spans="1:21" x14ac:dyDescent="0.25">
      <c r="A298" s="1"/>
      <c r="B298" s="1"/>
      <c r="C298" s="1"/>
      <c r="D298" s="1"/>
      <c r="E298" s="1"/>
      <c r="F298" s="1"/>
      <c r="G298" s="1"/>
      <c r="H298" s="1"/>
      <c r="I298" s="1"/>
      <c r="J298" s="1"/>
      <c r="K298" s="1"/>
      <c r="L298" s="1"/>
      <c r="M298" s="1"/>
      <c r="N298" s="1"/>
      <c r="O298" s="1"/>
      <c r="P298" s="1"/>
      <c r="Q298" s="1"/>
      <c r="R298" s="1"/>
      <c r="S298" s="1"/>
      <c r="T298" s="1"/>
      <c r="U298" s="1"/>
    </row>
    <row r="299" spans="1:21" x14ac:dyDescent="0.25">
      <c r="A299" s="1"/>
      <c r="B299" s="1"/>
      <c r="C299" s="1"/>
      <c r="D299" s="1"/>
      <c r="E299" s="1"/>
      <c r="F299" s="1"/>
      <c r="G299" s="1"/>
      <c r="H299" s="1"/>
      <c r="I299" s="1"/>
      <c r="J299" s="1"/>
      <c r="K299" s="1"/>
      <c r="L299" s="1"/>
      <c r="M299" s="1"/>
      <c r="N299" s="1"/>
      <c r="O299" s="1"/>
      <c r="P299" s="1"/>
      <c r="Q299" s="1"/>
      <c r="R299" s="1"/>
      <c r="S299" s="1"/>
      <c r="T299" s="1"/>
      <c r="U299" s="1"/>
    </row>
    <row r="300" spans="1:21" x14ac:dyDescent="0.25">
      <c r="A300" s="1"/>
      <c r="B300" s="1"/>
      <c r="C300" s="1"/>
      <c r="D300" s="1"/>
      <c r="E300" s="1"/>
      <c r="F300" s="1"/>
      <c r="G300" s="1"/>
      <c r="H300" s="1"/>
      <c r="I300" s="1"/>
      <c r="J300" s="1"/>
      <c r="K300" s="1"/>
      <c r="L300" s="1"/>
      <c r="M300" s="1"/>
      <c r="N300" s="1"/>
      <c r="O300" s="1"/>
      <c r="P300" s="1"/>
      <c r="Q300" s="1"/>
      <c r="R300" s="1"/>
      <c r="S300" s="1"/>
      <c r="T300" s="1"/>
      <c r="U300" s="1"/>
    </row>
    <row r="301" spans="1:21" x14ac:dyDescent="0.25">
      <c r="A301" s="1"/>
      <c r="B301" s="1"/>
      <c r="C301" s="1"/>
      <c r="D301" s="1"/>
      <c r="E301" s="1"/>
      <c r="F301" s="1"/>
      <c r="G301" s="1"/>
      <c r="H301" s="1"/>
      <c r="I301" s="1"/>
      <c r="J301" s="1"/>
      <c r="K301" s="1"/>
      <c r="L301" s="1"/>
      <c r="M301" s="1"/>
      <c r="N301" s="1"/>
      <c r="O301" s="1"/>
      <c r="P301" s="1"/>
      <c r="Q301" s="1"/>
      <c r="R301" s="1"/>
      <c r="S301" s="1"/>
      <c r="T301" s="1"/>
      <c r="U301" s="1"/>
    </row>
    <row r="302" spans="1:21" x14ac:dyDescent="0.25">
      <c r="A302" s="1"/>
      <c r="B302" s="1"/>
      <c r="C302" s="1"/>
      <c r="D302" s="1"/>
      <c r="E302" s="1"/>
      <c r="F302" s="1"/>
      <c r="G302" s="1"/>
      <c r="H302" s="1"/>
      <c r="I302" s="1"/>
      <c r="J302" s="1"/>
      <c r="K302" s="1"/>
      <c r="L302" s="1"/>
      <c r="M302" s="1"/>
      <c r="N302" s="1"/>
      <c r="O302" s="1"/>
      <c r="P302" s="1"/>
      <c r="Q302" s="1"/>
      <c r="R302" s="1"/>
      <c r="S302" s="1"/>
      <c r="T302" s="1"/>
      <c r="U302" s="1"/>
    </row>
    <row r="303" spans="1:21" x14ac:dyDescent="0.25">
      <c r="A303" s="1"/>
      <c r="B303" s="1"/>
      <c r="C303" s="1"/>
      <c r="D303" s="1"/>
      <c r="E303" s="1"/>
      <c r="F303" s="1"/>
      <c r="G303" s="1"/>
      <c r="H303" s="1"/>
      <c r="I303" s="1"/>
      <c r="J303" s="1"/>
      <c r="K303" s="1"/>
      <c r="L303" s="1"/>
      <c r="M303" s="1"/>
      <c r="N303" s="1"/>
      <c r="O303" s="1"/>
      <c r="P303" s="1"/>
      <c r="Q303" s="1"/>
      <c r="R303" s="1"/>
      <c r="S303" s="1"/>
      <c r="T303" s="1"/>
      <c r="U303" s="1"/>
    </row>
    <row r="304" spans="1:21" x14ac:dyDescent="0.25">
      <c r="A304" s="1"/>
      <c r="B304" s="1"/>
      <c r="C304" s="1"/>
      <c r="D304" s="1"/>
      <c r="E304" s="1"/>
      <c r="F304" s="1"/>
      <c r="G304" s="1"/>
      <c r="H304" s="1"/>
      <c r="I304" s="1"/>
      <c r="J304" s="1"/>
      <c r="K304" s="1"/>
      <c r="L304" s="1"/>
      <c r="M304" s="1"/>
      <c r="N304" s="1"/>
      <c r="O304" s="1"/>
      <c r="P304" s="1"/>
      <c r="Q304" s="1"/>
      <c r="R304" s="1"/>
      <c r="S304" s="1"/>
      <c r="T304" s="1"/>
      <c r="U304" s="1"/>
    </row>
    <row r="305" spans="1:21" x14ac:dyDescent="0.25">
      <c r="A305" s="1"/>
      <c r="B305" s="1"/>
      <c r="C305" s="1"/>
      <c r="D305" s="1"/>
      <c r="E305" s="1"/>
      <c r="F305" s="1"/>
      <c r="G305" s="1"/>
      <c r="H305" s="1"/>
      <c r="I305" s="1"/>
      <c r="J305" s="1"/>
      <c r="K305" s="1"/>
      <c r="L305" s="1"/>
      <c r="M305" s="1"/>
      <c r="N305" s="1"/>
      <c r="O305" s="1"/>
      <c r="P305" s="1"/>
      <c r="Q305" s="1"/>
      <c r="R305" s="1"/>
      <c r="S305" s="1"/>
      <c r="T305" s="1"/>
      <c r="U305" s="1"/>
    </row>
    <row r="306" spans="1:21" x14ac:dyDescent="0.25">
      <c r="A306" s="1"/>
      <c r="B306" s="1"/>
      <c r="C306" s="1"/>
      <c r="D306" s="1"/>
      <c r="E306" s="1"/>
      <c r="F306" s="1"/>
      <c r="G306" s="1"/>
      <c r="H306" s="1"/>
      <c r="I306" s="1"/>
      <c r="J306" s="1"/>
      <c r="K306" s="1"/>
      <c r="L306" s="1"/>
      <c r="M306" s="1"/>
      <c r="N306" s="1"/>
      <c r="O306" s="1"/>
      <c r="P306" s="1"/>
      <c r="Q306" s="1"/>
      <c r="R306" s="1"/>
      <c r="S306" s="1"/>
      <c r="T306" s="1"/>
      <c r="U306" s="1"/>
    </row>
    <row r="307" spans="1:21" x14ac:dyDescent="0.25">
      <c r="A307" s="1"/>
      <c r="B307" s="1"/>
      <c r="C307" s="1"/>
      <c r="D307" s="1"/>
      <c r="E307" s="1"/>
      <c r="F307" s="1"/>
      <c r="G307" s="1"/>
      <c r="H307" s="1"/>
      <c r="I307" s="1"/>
      <c r="J307" s="1"/>
      <c r="K307" s="1"/>
      <c r="L307" s="1"/>
      <c r="M307" s="1"/>
      <c r="N307" s="1"/>
      <c r="O307" s="1"/>
      <c r="P307" s="1"/>
      <c r="Q307" s="1"/>
      <c r="R307" s="1"/>
      <c r="S307" s="1"/>
      <c r="T307" s="1"/>
      <c r="U307" s="1"/>
    </row>
    <row r="308" spans="1:21" x14ac:dyDescent="0.25">
      <c r="A308" s="1"/>
      <c r="B308" s="1"/>
      <c r="C308" s="1"/>
      <c r="D308" s="1"/>
      <c r="E308" s="1"/>
      <c r="F308" s="1"/>
      <c r="G308" s="1"/>
      <c r="H308" s="1"/>
      <c r="I308" s="1"/>
      <c r="J308" s="1"/>
      <c r="K308" s="1"/>
      <c r="L308" s="1"/>
      <c r="M308" s="1"/>
      <c r="N308" s="1"/>
      <c r="O308" s="1"/>
      <c r="P308" s="1"/>
      <c r="Q308" s="1"/>
      <c r="R308" s="1"/>
      <c r="S308" s="1"/>
      <c r="T308" s="1"/>
      <c r="U308" s="1"/>
    </row>
    <row r="309" spans="1:21" x14ac:dyDescent="0.25">
      <c r="A309" s="1"/>
      <c r="B309" s="1"/>
      <c r="C309" s="1"/>
      <c r="D309" s="1"/>
      <c r="E309" s="1"/>
      <c r="F309" s="1"/>
      <c r="G309" s="1"/>
      <c r="H309" s="1"/>
      <c r="I309" s="1"/>
      <c r="J309" s="1"/>
      <c r="K309" s="1"/>
      <c r="L309" s="1"/>
      <c r="M309" s="1"/>
      <c r="N309" s="1"/>
      <c r="O309" s="1"/>
      <c r="P309" s="1"/>
      <c r="Q309" s="1"/>
      <c r="R309" s="1"/>
      <c r="S309" s="1"/>
      <c r="T309" s="1"/>
      <c r="U309" s="1"/>
    </row>
    <row r="310" spans="1:21" x14ac:dyDescent="0.25">
      <c r="A310" s="1"/>
      <c r="B310" s="1"/>
      <c r="C310" s="1"/>
      <c r="D310" s="1"/>
      <c r="E310" s="1"/>
      <c r="F310" s="1"/>
      <c r="G310" s="1"/>
      <c r="H310" s="1"/>
      <c r="I310" s="1"/>
      <c r="J310" s="1"/>
      <c r="K310" s="1"/>
      <c r="L310" s="1"/>
      <c r="M310" s="1"/>
      <c r="N310" s="1"/>
      <c r="O310" s="1"/>
      <c r="P310" s="1"/>
      <c r="Q310" s="1"/>
      <c r="R310" s="1"/>
      <c r="S310" s="1"/>
      <c r="T310" s="1"/>
      <c r="U310" s="1"/>
    </row>
    <row r="311" spans="1:21" x14ac:dyDescent="0.25">
      <c r="A311" s="1"/>
      <c r="B311" s="1"/>
      <c r="C311" s="1"/>
      <c r="D311" s="1"/>
      <c r="E311" s="1"/>
      <c r="F311" s="1"/>
      <c r="G311" s="1"/>
      <c r="H311" s="1"/>
      <c r="I311" s="1"/>
      <c r="J311" s="1"/>
      <c r="K311" s="1"/>
      <c r="L311" s="1"/>
      <c r="M311" s="1"/>
      <c r="N311" s="1"/>
      <c r="O311" s="1"/>
      <c r="P311" s="1"/>
      <c r="Q311" s="1"/>
      <c r="R311" s="1"/>
      <c r="S311" s="1"/>
      <c r="T311" s="1"/>
      <c r="U311" s="1"/>
    </row>
    <row r="312" spans="1:21" x14ac:dyDescent="0.25">
      <c r="A312" s="1"/>
      <c r="B312" s="1"/>
      <c r="C312" s="1"/>
      <c r="D312" s="1"/>
      <c r="E312" s="1"/>
      <c r="F312" s="1"/>
      <c r="G312" s="1"/>
      <c r="H312" s="1"/>
      <c r="I312" s="1"/>
      <c r="J312" s="1"/>
      <c r="K312" s="1"/>
      <c r="L312" s="1"/>
      <c r="M312" s="1"/>
      <c r="N312" s="1"/>
      <c r="O312" s="1"/>
      <c r="P312" s="1"/>
      <c r="Q312" s="1"/>
      <c r="R312" s="1"/>
      <c r="S312" s="1"/>
      <c r="T312" s="1"/>
      <c r="U312" s="1"/>
    </row>
    <row r="313" spans="1:21" x14ac:dyDescent="0.25">
      <c r="A313" s="1"/>
      <c r="B313" s="1"/>
      <c r="C313" s="1"/>
      <c r="D313" s="1"/>
      <c r="E313" s="1"/>
      <c r="F313" s="1"/>
      <c r="G313" s="1"/>
      <c r="H313" s="1"/>
      <c r="I313" s="1"/>
      <c r="J313" s="1"/>
      <c r="K313" s="1"/>
      <c r="L313" s="1"/>
      <c r="M313" s="1"/>
      <c r="N313" s="1"/>
      <c r="O313" s="1"/>
      <c r="P313" s="1"/>
      <c r="Q313" s="1"/>
      <c r="R313" s="1"/>
      <c r="S313" s="1"/>
      <c r="T313" s="1"/>
      <c r="U313" s="1"/>
    </row>
    <row r="314" spans="1:21" x14ac:dyDescent="0.25">
      <c r="A314" s="1"/>
      <c r="B314" s="1"/>
      <c r="C314" s="1"/>
      <c r="D314" s="1"/>
      <c r="E314" s="1"/>
      <c r="F314" s="1"/>
      <c r="G314" s="1"/>
      <c r="H314" s="1"/>
      <c r="I314" s="1"/>
      <c r="J314" s="1"/>
      <c r="K314" s="1"/>
      <c r="L314" s="1"/>
      <c r="M314" s="1"/>
      <c r="N314" s="1"/>
      <c r="O314" s="1"/>
      <c r="P314" s="1"/>
      <c r="Q314" s="1"/>
      <c r="R314" s="1"/>
      <c r="S314" s="1"/>
      <c r="T314" s="1"/>
      <c r="U314" s="1"/>
    </row>
    <row r="315" spans="1:21" x14ac:dyDescent="0.25">
      <c r="A315" s="1"/>
      <c r="B315" s="1"/>
      <c r="C315" s="1"/>
      <c r="D315" s="1"/>
      <c r="E315" s="1"/>
      <c r="F315" s="1"/>
      <c r="G315" s="1"/>
      <c r="H315" s="1"/>
      <c r="I315" s="1"/>
      <c r="J315" s="1"/>
      <c r="K315" s="1"/>
      <c r="L315" s="1"/>
      <c r="M315" s="1"/>
      <c r="N315" s="1"/>
      <c r="O315" s="1"/>
      <c r="P315" s="1"/>
      <c r="Q315" s="1"/>
      <c r="R315" s="1"/>
      <c r="S315" s="1"/>
      <c r="T315" s="1"/>
      <c r="U315" s="1"/>
    </row>
    <row r="316" spans="1:21" x14ac:dyDescent="0.25">
      <c r="A316" s="1"/>
      <c r="B316" s="1"/>
      <c r="C316" s="1"/>
      <c r="D316" s="1"/>
      <c r="E316" s="1"/>
      <c r="F316" s="1"/>
      <c r="G316" s="1"/>
      <c r="H316" s="1"/>
      <c r="I316" s="1"/>
      <c r="J316" s="1"/>
      <c r="K316" s="1"/>
      <c r="L316" s="1"/>
      <c r="M316" s="1"/>
      <c r="N316" s="1"/>
      <c r="O316" s="1"/>
      <c r="P316" s="1"/>
      <c r="Q316" s="1"/>
      <c r="R316" s="1"/>
      <c r="S316" s="1"/>
      <c r="T316" s="1"/>
      <c r="U316" s="1"/>
    </row>
    <row r="317" spans="1:21" x14ac:dyDescent="0.25">
      <c r="A317" s="1"/>
      <c r="B317" s="1"/>
      <c r="C317" s="1"/>
      <c r="D317" s="1"/>
      <c r="E317" s="1"/>
      <c r="F317" s="1"/>
      <c r="G317" s="1"/>
      <c r="H317" s="1"/>
      <c r="I317" s="1"/>
      <c r="J317" s="1"/>
      <c r="K317" s="1"/>
      <c r="L317" s="1"/>
      <c r="M317" s="1"/>
      <c r="N317" s="1"/>
      <c r="O317" s="1"/>
      <c r="P317" s="1"/>
      <c r="Q317" s="1"/>
      <c r="R317" s="1"/>
      <c r="S317" s="1"/>
      <c r="T317" s="1"/>
      <c r="U317" s="1"/>
    </row>
    <row r="318" spans="1:21" x14ac:dyDescent="0.25">
      <c r="A318" s="1"/>
      <c r="B318" s="1"/>
      <c r="C318" s="1"/>
      <c r="D318" s="1"/>
      <c r="E318" s="1"/>
      <c r="F318" s="1"/>
      <c r="G318" s="1"/>
      <c r="H318" s="1"/>
      <c r="I318" s="1"/>
      <c r="J318" s="1"/>
      <c r="K318" s="1"/>
      <c r="L318" s="1"/>
      <c r="M318" s="1"/>
      <c r="N318" s="1"/>
      <c r="O318" s="1"/>
      <c r="P318" s="1"/>
      <c r="Q318" s="1"/>
      <c r="R318" s="1"/>
      <c r="S318" s="1"/>
      <c r="T318" s="1"/>
      <c r="U318" s="1"/>
    </row>
    <row r="319" spans="1:21" x14ac:dyDescent="0.25">
      <c r="A319" s="1"/>
      <c r="B319" s="1"/>
      <c r="C319" s="1"/>
      <c r="D319" s="1"/>
      <c r="E319" s="1"/>
      <c r="F319" s="1"/>
      <c r="G319" s="1"/>
      <c r="H319" s="1"/>
      <c r="I319" s="1"/>
      <c r="J319" s="1"/>
      <c r="K319" s="1"/>
      <c r="L319" s="1"/>
      <c r="M319" s="1"/>
      <c r="N319" s="1"/>
      <c r="O319" s="1"/>
      <c r="P319" s="1"/>
      <c r="Q319" s="1"/>
      <c r="R319" s="1"/>
      <c r="S319" s="1"/>
      <c r="T319" s="1"/>
      <c r="U319" s="1"/>
    </row>
    <row r="320" spans="1:21" x14ac:dyDescent="0.25">
      <c r="A320" s="1"/>
      <c r="B320" s="1"/>
      <c r="C320" s="1"/>
      <c r="D320" s="1"/>
      <c r="E320" s="1"/>
      <c r="F320" s="1"/>
      <c r="G320" s="1"/>
      <c r="H320" s="1"/>
      <c r="I320" s="1"/>
      <c r="J320" s="1"/>
      <c r="K320" s="1"/>
      <c r="L320" s="1"/>
      <c r="M320" s="1"/>
      <c r="N320" s="1"/>
      <c r="O320" s="1"/>
      <c r="P320" s="1"/>
      <c r="Q320" s="1"/>
      <c r="R320" s="1"/>
      <c r="S320" s="1"/>
      <c r="T320" s="1"/>
      <c r="U320" s="1"/>
    </row>
    <row r="321" spans="1:21" x14ac:dyDescent="0.25">
      <c r="A321" s="1"/>
      <c r="B321" s="1"/>
      <c r="C321" s="1"/>
      <c r="D321" s="1"/>
      <c r="E321" s="1"/>
      <c r="F321" s="1"/>
      <c r="G321" s="1"/>
      <c r="H321" s="1"/>
      <c r="I321" s="1"/>
      <c r="J321" s="1"/>
      <c r="K321" s="1"/>
      <c r="L321" s="1"/>
      <c r="M321" s="1"/>
      <c r="N321" s="1"/>
      <c r="O321" s="1"/>
      <c r="P321" s="1"/>
      <c r="Q321" s="1"/>
      <c r="R321" s="1"/>
      <c r="S321" s="1"/>
      <c r="T321" s="1"/>
      <c r="U321" s="1"/>
    </row>
    <row r="322" spans="1:21" x14ac:dyDescent="0.25">
      <c r="A322" s="1"/>
      <c r="B322" s="1"/>
      <c r="C322" s="1"/>
      <c r="D322" s="1"/>
      <c r="E322" s="1"/>
      <c r="F322" s="1"/>
      <c r="G322" s="1"/>
      <c r="H322" s="1"/>
      <c r="I322" s="1"/>
      <c r="J322" s="1"/>
      <c r="K322" s="1"/>
      <c r="L322" s="1"/>
      <c r="M322" s="1"/>
      <c r="N322" s="1"/>
      <c r="O322" s="1"/>
      <c r="P322" s="1"/>
      <c r="Q322" s="1"/>
      <c r="R322" s="1"/>
      <c r="S322" s="1"/>
      <c r="T322" s="1"/>
      <c r="U322" s="1"/>
    </row>
    <row r="323" spans="1:21" x14ac:dyDescent="0.25">
      <c r="A323" s="1"/>
      <c r="B323" s="1"/>
      <c r="C323" s="1"/>
      <c r="D323" s="1"/>
      <c r="E323" s="1"/>
      <c r="F323" s="1"/>
      <c r="G323" s="1"/>
      <c r="H323" s="1"/>
      <c r="I323" s="1"/>
      <c r="J323" s="1"/>
      <c r="K323" s="1"/>
      <c r="L323" s="1"/>
      <c r="M323" s="1"/>
      <c r="N323" s="1"/>
      <c r="O323" s="1"/>
      <c r="P323" s="1"/>
      <c r="Q323" s="1"/>
      <c r="R323" s="1"/>
      <c r="S323" s="1"/>
      <c r="T323" s="1"/>
      <c r="U323" s="1"/>
    </row>
    <row r="324" spans="1:21" x14ac:dyDescent="0.25">
      <c r="A324" s="1"/>
      <c r="B324" s="1"/>
      <c r="C324" s="1"/>
      <c r="D324" s="1"/>
      <c r="E324" s="1"/>
      <c r="F324" s="1"/>
      <c r="G324" s="1"/>
      <c r="H324" s="1"/>
      <c r="I324" s="1"/>
      <c r="J324" s="1"/>
      <c r="K324" s="1"/>
      <c r="L324" s="1"/>
      <c r="M324" s="1"/>
      <c r="N324" s="1"/>
      <c r="O324" s="1"/>
      <c r="P324" s="1"/>
      <c r="Q324" s="1"/>
      <c r="R324" s="1"/>
      <c r="S324" s="1"/>
      <c r="T324" s="1"/>
      <c r="U324" s="1"/>
    </row>
    <row r="325" spans="1:21" x14ac:dyDescent="0.25">
      <c r="A325" s="1"/>
      <c r="B325" s="1"/>
      <c r="C325" s="1"/>
      <c r="D325" s="1"/>
      <c r="E325" s="1"/>
      <c r="F325" s="1"/>
      <c r="G325" s="1"/>
      <c r="H325" s="1"/>
      <c r="I325" s="1"/>
      <c r="J325" s="1"/>
      <c r="K325" s="1"/>
      <c r="L325" s="1"/>
      <c r="M325" s="1"/>
      <c r="N325" s="1"/>
      <c r="O325" s="1"/>
      <c r="P325" s="1"/>
      <c r="Q325" s="1"/>
      <c r="R325" s="1"/>
      <c r="S325" s="1"/>
      <c r="T325" s="1"/>
      <c r="U325" s="1"/>
    </row>
    <row r="326" spans="1:21" x14ac:dyDescent="0.25">
      <c r="A326" s="1"/>
      <c r="B326" s="1"/>
      <c r="C326" s="1"/>
      <c r="D326" s="1"/>
      <c r="E326" s="1"/>
      <c r="F326" s="1"/>
      <c r="G326" s="1"/>
      <c r="H326" s="1"/>
      <c r="I326" s="1"/>
      <c r="J326" s="1"/>
      <c r="K326" s="1"/>
      <c r="L326" s="1"/>
      <c r="M326" s="1"/>
      <c r="N326" s="1"/>
      <c r="O326" s="1"/>
      <c r="P326" s="1"/>
      <c r="Q326" s="1"/>
      <c r="R326" s="1"/>
      <c r="S326" s="1"/>
      <c r="T326" s="1"/>
      <c r="U326" s="1"/>
    </row>
    <row r="327" spans="1:21" x14ac:dyDescent="0.25">
      <c r="A327" s="1"/>
      <c r="B327" s="1"/>
      <c r="C327" s="1"/>
      <c r="D327" s="1"/>
      <c r="E327" s="1"/>
      <c r="F327" s="1"/>
      <c r="G327" s="1"/>
      <c r="H327" s="1"/>
      <c r="I327" s="1"/>
      <c r="J327" s="1"/>
      <c r="K327" s="1"/>
      <c r="L327" s="1"/>
      <c r="M327" s="1"/>
      <c r="N327" s="1"/>
      <c r="O327" s="1"/>
      <c r="P327" s="1"/>
      <c r="Q327" s="1"/>
      <c r="R327" s="1"/>
      <c r="S327" s="1"/>
      <c r="T327" s="1"/>
      <c r="U327" s="1"/>
    </row>
    <row r="328" spans="1:21" x14ac:dyDescent="0.25">
      <c r="A328" s="1"/>
      <c r="B328" s="1"/>
      <c r="C328" s="1"/>
      <c r="D328" s="1"/>
      <c r="E328" s="1"/>
      <c r="F328" s="1"/>
      <c r="G328" s="1"/>
      <c r="H328" s="1"/>
      <c r="I328" s="1"/>
      <c r="J328" s="1"/>
      <c r="K328" s="1"/>
      <c r="L328" s="1"/>
      <c r="M328" s="1"/>
      <c r="N328" s="1"/>
      <c r="O328" s="1"/>
      <c r="P328" s="1"/>
      <c r="Q328" s="1"/>
      <c r="R328" s="1"/>
      <c r="S328" s="1"/>
      <c r="T328" s="1"/>
      <c r="U328" s="1"/>
    </row>
    <row r="329" spans="1:21" x14ac:dyDescent="0.25">
      <c r="A329" s="1"/>
      <c r="B329" s="1"/>
      <c r="C329" s="1"/>
      <c r="D329" s="1"/>
      <c r="E329" s="1"/>
      <c r="F329" s="1"/>
      <c r="G329" s="1"/>
      <c r="H329" s="1"/>
      <c r="I329" s="1"/>
      <c r="J329" s="1"/>
      <c r="K329" s="1"/>
      <c r="L329" s="1"/>
      <c r="M329" s="1"/>
      <c r="N329" s="1"/>
      <c r="O329" s="1"/>
      <c r="P329" s="1"/>
      <c r="Q329" s="1"/>
      <c r="R329" s="1"/>
      <c r="S329" s="1"/>
      <c r="T329" s="1"/>
      <c r="U329" s="1"/>
    </row>
    <row r="330" spans="1:21" x14ac:dyDescent="0.25">
      <c r="A330" s="1"/>
      <c r="B330" s="1"/>
      <c r="C330" s="1"/>
      <c r="D330" s="1"/>
      <c r="E330" s="1"/>
      <c r="F330" s="1"/>
      <c r="G330" s="1"/>
      <c r="H330" s="1"/>
      <c r="I330" s="1"/>
      <c r="J330" s="1"/>
      <c r="K330" s="1"/>
      <c r="L330" s="1"/>
      <c r="M330" s="1"/>
      <c r="N330" s="1"/>
      <c r="O330" s="1"/>
      <c r="P330" s="1"/>
      <c r="Q330" s="1"/>
      <c r="R330" s="1"/>
      <c r="S330" s="1"/>
      <c r="T330" s="1"/>
      <c r="U330" s="1"/>
    </row>
    <row r="331" spans="1:21" x14ac:dyDescent="0.25">
      <c r="A331" s="1"/>
      <c r="B331" s="1"/>
      <c r="C331" s="1"/>
      <c r="D331" s="1"/>
      <c r="E331" s="1"/>
      <c r="F331" s="1"/>
      <c r="G331" s="1"/>
      <c r="H331" s="1"/>
      <c r="I331" s="1"/>
      <c r="J331" s="1"/>
      <c r="K331" s="1"/>
      <c r="L331" s="1"/>
      <c r="M331" s="1"/>
      <c r="N331" s="1"/>
      <c r="O331" s="1"/>
      <c r="P331" s="1"/>
      <c r="Q331" s="1"/>
      <c r="R331" s="1"/>
      <c r="S331" s="1"/>
      <c r="T331" s="1"/>
      <c r="U331" s="1"/>
    </row>
    <row r="332" spans="1:21" x14ac:dyDescent="0.25">
      <c r="A332" s="1"/>
      <c r="B332" s="1"/>
      <c r="C332" s="1"/>
      <c r="D332" s="1"/>
      <c r="E332" s="1"/>
      <c r="F332" s="1"/>
      <c r="G332" s="1"/>
      <c r="H332" s="1"/>
      <c r="I332" s="1"/>
      <c r="J332" s="1"/>
      <c r="K332" s="1"/>
      <c r="L332" s="1"/>
      <c r="M332" s="1"/>
      <c r="N332" s="1"/>
      <c r="O332" s="1"/>
      <c r="P332" s="1"/>
      <c r="Q332" s="1"/>
      <c r="R332" s="1"/>
      <c r="S332" s="1"/>
      <c r="T332" s="1"/>
      <c r="U332" s="1"/>
    </row>
    <row r="333" spans="1:21" x14ac:dyDescent="0.25">
      <c r="A333" s="1"/>
      <c r="B333" s="1"/>
      <c r="C333" s="1"/>
      <c r="D333" s="1"/>
      <c r="E333" s="1"/>
      <c r="F333" s="1"/>
      <c r="G333" s="1"/>
      <c r="H333" s="1"/>
      <c r="I333" s="1"/>
      <c r="J333" s="1"/>
      <c r="K333" s="1"/>
      <c r="L333" s="1"/>
      <c r="M333" s="1"/>
      <c r="N333" s="1"/>
      <c r="O333" s="1"/>
      <c r="P333" s="1"/>
      <c r="Q333" s="1"/>
      <c r="R333" s="1"/>
      <c r="S333" s="1"/>
      <c r="T333" s="1"/>
      <c r="U333" s="1"/>
    </row>
    <row r="334" spans="1:21" x14ac:dyDescent="0.25">
      <c r="A334" s="1"/>
      <c r="B334" s="1"/>
      <c r="C334" s="1"/>
      <c r="D334" s="1"/>
      <c r="E334" s="1"/>
      <c r="F334" s="1"/>
      <c r="G334" s="1"/>
      <c r="H334" s="1"/>
      <c r="I334" s="1"/>
      <c r="J334" s="1"/>
      <c r="K334" s="1"/>
      <c r="L334" s="1"/>
      <c r="M334" s="1"/>
      <c r="N334" s="1"/>
      <c r="O334" s="1"/>
      <c r="P334" s="1"/>
      <c r="Q334" s="1"/>
      <c r="R334" s="1"/>
      <c r="S334" s="1"/>
      <c r="T334" s="1"/>
      <c r="U334" s="1"/>
    </row>
    <row r="335" spans="1:21" x14ac:dyDescent="0.25">
      <c r="A335" s="1"/>
      <c r="B335" s="1"/>
      <c r="C335" s="1"/>
      <c r="D335" s="1"/>
      <c r="E335" s="1"/>
      <c r="F335" s="1"/>
      <c r="G335" s="1"/>
      <c r="H335" s="1"/>
      <c r="I335" s="1"/>
      <c r="J335" s="1"/>
      <c r="K335" s="1"/>
      <c r="L335" s="1"/>
      <c r="M335" s="1"/>
      <c r="N335" s="1"/>
      <c r="O335" s="1"/>
      <c r="P335" s="1"/>
      <c r="Q335" s="1"/>
      <c r="R335" s="1"/>
      <c r="S335" s="1"/>
      <c r="T335" s="1"/>
      <c r="U335" s="1"/>
    </row>
    <row r="336" spans="1:21" x14ac:dyDescent="0.25">
      <c r="A336" s="1"/>
      <c r="B336" s="1"/>
      <c r="C336" s="1"/>
      <c r="D336" s="1"/>
      <c r="E336" s="1"/>
      <c r="F336" s="1"/>
      <c r="G336" s="1"/>
      <c r="H336" s="1"/>
      <c r="I336" s="1"/>
      <c r="J336" s="1"/>
      <c r="K336" s="1"/>
      <c r="L336" s="1"/>
      <c r="M336" s="1"/>
      <c r="N336" s="1"/>
      <c r="O336" s="1"/>
      <c r="P336" s="1"/>
      <c r="Q336" s="1"/>
      <c r="R336" s="1"/>
      <c r="S336" s="1"/>
      <c r="T336" s="1"/>
      <c r="U336" s="1"/>
    </row>
    <row r="337" spans="1:21" x14ac:dyDescent="0.25">
      <c r="A337" s="1"/>
      <c r="B337" s="1"/>
      <c r="C337" s="1"/>
      <c r="D337" s="1"/>
      <c r="E337" s="1"/>
      <c r="F337" s="1"/>
      <c r="G337" s="1"/>
      <c r="H337" s="1"/>
      <c r="I337" s="1"/>
      <c r="J337" s="1"/>
      <c r="K337" s="1"/>
      <c r="L337" s="1"/>
      <c r="M337" s="1"/>
      <c r="N337" s="1"/>
      <c r="O337" s="1"/>
      <c r="P337" s="1"/>
      <c r="Q337" s="1"/>
      <c r="R337" s="1"/>
      <c r="S337" s="1"/>
      <c r="T337" s="1"/>
      <c r="U337" s="1"/>
    </row>
    <row r="338" spans="1:21" x14ac:dyDescent="0.25">
      <c r="A338" s="1"/>
      <c r="B338" s="1"/>
      <c r="C338" s="1"/>
      <c r="D338" s="1"/>
      <c r="E338" s="1"/>
      <c r="F338" s="1"/>
      <c r="G338" s="1"/>
      <c r="H338" s="1"/>
      <c r="I338" s="1"/>
      <c r="J338" s="1"/>
      <c r="K338" s="1"/>
      <c r="L338" s="1"/>
      <c r="M338" s="1"/>
      <c r="N338" s="1"/>
      <c r="O338" s="1"/>
      <c r="P338" s="1"/>
      <c r="Q338" s="1"/>
      <c r="R338" s="1"/>
      <c r="S338" s="1"/>
      <c r="T338" s="1"/>
      <c r="U338" s="1"/>
    </row>
    <row r="339" spans="1:21" x14ac:dyDescent="0.25">
      <c r="A339" s="1"/>
      <c r="B339" s="1"/>
      <c r="C339" s="1"/>
      <c r="D339" s="1"/>
      <c r="E339" s="1"/>
      <c r="F339" s="1"/>
      <c r="G339" s="1"/>
      <c r="H339" s="1"/>
      <c r="I339" s="1"/>
      <c r="J339" s="1"/>
      <c r="K339" s="1"/>
      <c r="L339" s="1"/>
      <c r="M339" s="1"/>
      <c r="N339" s="1"/>
      <c r="O339" s="1"/>
      <c r="P339" s="1"/>
      <c r="Q339" s="1"/>
      <c r="R339" s="1"/>
      <c r="S339" s="1"/>
      <c r="T339" s="1"/>
      <c r="U339" s="1"/>
    </row>
    <row r="340" spans="1:21" x14ac:dyDescent="0.25">
      <c r="A340" s="1"/>
      <c r="B340" s="1"/>
      <c r="C340" s="1"/>
      <c r="D340" s="1"/>
      <c r="E340" s="1"/>
      <c r="F340" s="1"/>
      <c r="G340" s="1"/>
      <c r="H340" s="1"/>
      <c r="I340" s="1"/>
      <c r="J340" s="1"/>
      <c r="K340" s="1"/>
      <c r="L340" s="1"/>
      <c r="M340" s="1"/>
      <c r="N340" s="1"/>
      <c r="O340" s="1"/>
      <c r="P340" s="1"/>
      <c r="Q340" s="1"/>
      <c r="R340" s="1"/>
      <c r="S340" s="1"/>
      <c r="T340" s="1"/>
      <c r="U340" s="1"/>
    </row>
    <row r="341" spans="1:21" x14ac:dyDescent="0.25">
      <c r="A341" s="1"/>
      <c r="B341" s="1"/>
      <c r="C341" s="1"/>
      <c r="D341" s="1"/>
      <c r="E341" s="1"/>
      <c r="F341" s="1"/>
      <c r="G341" s="1"/>
      <c r="H341" s="1"/>
      <c r="I341" s="1"/>
      <c r="J341" s="1"/>
      <c r="K341" s="1"/>
      <c r="L341" s="1"/>
      <c r="M341" s="1"/>
      <c r="N341" s="1"/>
      <c r="O341" s="1"/>
      <c r="P341" s="1"/>
      <c r="Q341" s="1"/>
      <c r="R341" s="1"/>
      <c r="S341" s="1"/>
      <c r="T341" s="1"/>
      <c r="U341" s="1"/>
    </row>
    <row r="342" spans="1:21" x14ac:dyDescent="0.25">
      <c r="A342" s="1"/>
      <c r="B342" s="1"/>
      <c r="C342" s="1"/>
      <c r="D342" s="1"/>
      <c r="E342" s="1"/>
      <c r="F342" s="1"/>
      <c r="G342" s="1"/>
      <c r="H342" s="1"/>
      <c r="I342" s="1"/>
      <c r="J342" s="1"/>
      <c r="K342" s="1"/>
      <c r="L342" s="1"/>
      <c r="M342" s="1"/>
      <c r="N342" s="1"/>
      <c r="O342" s="1"/>
      <c r="P342" s="1"/>
      <c r="Q342" s="1"/>
      <c r="R342" s="1"/>
      <c r="S342" s="1"/>
      <c r="T342" s="1"/>
      <c r="U342" s="1"/>
    </row>
    <row r="343" spans="1:21" x14ac:dyDescent="0.25">
      <c r="A343" s="1"/>
      <c r="B343" s="1"/>
      <c r="C343" s="1"/>
      <c r="D343" s="1"/>
      <c r="E343" s="1"/>
      <c r="F343" s="1"/>
      <c r="G343" s="1"/>
      <c r="H343" s="1"/>
      <c r="I343" s="1"/>
      <c r="J343" s="1"/>
      <c r="K343" s="1"/>
      <c r="L343" s="1"/>
      <c r="M343" s="1"/>
      <c r="N343" s="1"/>
      <c r="O343" s="1"/>
      <c r="P343" s="1"/>
      <c r="Q343" s="1"/>
      <c r="R343" s="1"/>
      <c r="S343" s="1"/>
      <c r="T343" s="1"/>
      <c r="U343" s="1"/>
    </row>
    <row r="344" spans="1:21" x14ac:dyDescent="0.25">
      <c r="A344" s="1"/>
      <c r="B344" s="1"/>
      <c r="C344" s="1"/>
      <c r="D344" s="1"/>
      <c r="E344" s="1"/>
      <c r="F344" s="1"/>
      <c r="G344" s="1"/>
      <c r="H344" s="1"/>
      <c r="I344" s="1"/>
      <c r="J344" s="1"/>
      <c r="K344" s="1"/>
      <c r="L344" s="1"/>
      <c r="M344" s="1"/>
      <c r="N344" s="1"/>
      <c r="O344" s="1"/>
      <c r="P344" s="1"/>
      <c r="Q344" s="1"/>
      <c r="R344" s="1"/>
      <c r="S344" s="1"/>
      <c r="T344" s="1"/>
      <c r="U344" s="1"/>
    </row>
    <row r="345" spans="1:21" x14ac:dyDescent="0.25">
      <c r="A345" s="1"/>
      <c r="B345" s="1"/>
      <c r="C345" s="1"/>
      <c r="D345" s="1"/>
      <c r="E345" s="1"/>
      <c r="F345" s="1"/>
      <c r="G345" s="1"/>
      <c r="H345" s="1"/>
      <c r="I345" s="1"/>
      <c r="J345" s="1"/>
      <c r="K345" s="1"/>
      <c r="L345" s="1"/>
      <c r="M345" s="1"/>
      <c r="N345" s="1"/>
      <c r="O345" s="1"/>
      <c r="P345" s="1"/>
      <c r="Q345" s="1"/>
      <c r="R345" s="1"/>
      <c r="S345" s="1"/>
      <c r="T345" s="1"/>
      <c r="U345" s="1"/>
    </row>
    <row r="346" spans="1:21" x14ac:dyDescent="0.25">
      <c r="A346" s="1"/>
      <c r="B346" s="1"/>
      <c r="C346" s="1"/>
      <c r="D346" s="1"/>
      <c r="E346" s="1"/>
      <c r="F346" s="1"/>
      <c r="G346" s="1"/>
      <c r="H346" s="1"/>
      <c r="I346" s="1"/>
      <c r="J346" s="1"/>
      <c r="K346" s="1"/>
      <c r="L346" s="1"/>
      <c r="M346" s="1"/>
      <c r="N346" s="1"/>
      <c r="O346" s="1"/>
      <c r="P346" s="1"/>
      <c r="Q346" s="1"/>
      <c r="R346" s="1"/>
      <c r="S346" s="1"/>
      <c r="T346" s="1"/>
      <c r="U346" s="1"/>
    </row>
    <row r="347" spans="1:21" x14ac:dyDescent="0.25">
      <c r="A347" s="1"/>
      <c r="B347" s="1"/>
      <c r="C347" s="1"/>
      <c r="D347" s="1"/>
      <c r="E347" s="1"/>
      <c r="F347" s="1"/>
      <c r="G347" s="1"/>
      <c r="H347" s="1"/>
      <c r="I347" s="1"/>
      <c r="J347" s="1"/>
      <c r="K347" s="1"/>
      <c r="L347" s="1"/>
      <c r="M347" s="1"/>
      <c r="N347" s="1"/>
      <c r="O347" s="1"/>
      <c r="P347" s="1"/>
      <c r="Q347" s="1"/>
      <c r="R347" s="1"/>
      <c r="S347" s="1"/>
      <c r="T347" s="1"/>
      <c r="U347" s="1"/>
    </row>
    <row r="348" spans="1:21" x14ac:dyDescent="0.25">
      <c r="A348" s="1"/>
      <c r="B348" s="1"/>
      <c r="C348" s="1"/>
      <c r="D348" s="1"/>
      <c r="E348" s="1"/>
      <c r="F348" s="1"/>
      <c r="G348" s="1"/>
      <c r="H348" s="1"/>
      <c r="I348" s="1"/>
      <c r="J348" s="1"/>
      <c r="K348" s="1"/>
      <c r="L348" s="1"/>
      <c r="M348" s="1"/>
      <c r="N348" s="1"/>
      <c r="O348" s="1"/>
      <c r="P348" s="1"/>
      <c r="Q348" s="1"/>
      <c r="R348" s="1"/>
      <c r="S348" s="1"/>
      <c r="T348" s="1"/>
      <c r="U348" s="1"/>
    </row>
    <row r="349" spans="1:21" x14ac:dyDescent="0.25">
      <c r="A349" s="1"/>
      <c r="B349" s="1"/>
      <c r="C349" s="1"/>
      <c r="D349" s="1"/>
      <c r="E349" s="1"/>
      <c r="F349" s="1"/>
      <c r="G349" s="1"/>
      <c r="H349" s="1"/>
      <c r="I349" s="1"/>
      <c r="J349" s="1"/>
      <c r="K349" s="1"/>
      <c r="L349" s="1"/>
      <c r="M349" s="1"/>
      <c r="N349" s="1"/>
      <c r="O349" s="1"/>
      <c r="P349" s="1"/>
      <c r="Q349" s="1"/>
      <c r="R349" s="1"/>
      <c r="S349" s="1"/>
      <c r="T349" s="1"/>
      <c r="U349" s="1"/>
    </row>
    <row r="350" spans="1:21" x14ac:dyDescent="0.25">
      <c r="A350" s="1"/>
      <c r="B350" s="1"/>
      <c r="C350" s="1"/>
      <c r="D350" s="1"/>
      <c r="E350" s="1"/>
      <c r="F350" s="1"/>
      <c r="G350" s="1"/>
      <c r="H350" s="1"/>
      <c r="I350" s="1"/>
      <c r="J350" s="1"/>
      <c r="K350" s="1"/>
      <c r="L350" s="1"/>
      <c r="M350" s="1"/>
      <c r="N350" s="1"/>
      <c r="O350" s="1"/>
      <c r="P350" s="1"/>
      <c r="Q350" s="1"/>
      <c r="R350" s="1"/>
      <c r="S350" s="1"/>
      <c r="T350" s="1"/>
      <c r="U350" s="1"/>
    </row>
    <row r="351" spans="1:21" x14ac:dyDescent="0.25">
      <c r="A351" s="1"/>
      <c r="B351" s="1"/>
      <c r="C351" s="1"/>
      <c r="D351" s="1"/>
      <c r="E351" s="1"/>
      <c r="F351" s="1"/>
      <c r="G351" s="1"/>
      <c r="H351" s="1"/>
      <c r="I351" s="1"/>
      <c r="J351" s="1"/>
      <c r="K351" s="1"/>
      <c r="L351" s="1"/>
      <c r="M351" s="1"/>
      <c r="N351" s="1"/>
      <c r="O351" s="1"/>
      <c r="P351" s="1"/>
      <c r="Q351" s="1"/>
      <c r="R351" s="1"/>
      <c r="S351" s="1"/>
      <c r="T351" s="1"/>
      <c r="U351" s="1"/>
    </row>
    <row r="352" spans="1:21" x14ac:dyDescent="0.25">
      <c r="A352" s="1"/>
      <c r="B352" s="1"/>
      <c r="C352" s="1"/>
      <c r="D352" s="1"/>
      <c r="E352" s="1"/>
      <c r="F352" s="1"/>
      <c r="G352" s="1"/>
      <c r="H352" s="1"/>
      <c r="I352" s="1"/>
      <c r="J352" s="1"/>
      <c r="K352" s="1"/>
      <c r="L352" s="1"/>
      <c r="M352" s="1"/>
      <c r="N352" s="1"/>
      <c r="O352" s="1"/>
      <c r="P352" s="1"/>
      <c r="Q352" s="1"/>
      <c r="R352" s="1"/>
      <c r="S352" s="1"/>
      <c r="T352" s="1"/>
      <c r="U352" s="1"/>
    </row>
    <row r="353" spans="1:21" x14ac:dyDescent="0.25">
      <c r="A353" s="1"/>
      <c r="B353" s="1"/>
      <c r="C353" s="1"/>
      <c r="D353" s="1"/>
      <c r="E353" s="1"/>
      <c r="F353" s="1"/>
      <c r="G353" s="1"/>
      <c r="H353" s="1"/>
      <c r="I353" s="1"/>
      <c r="J353" s="1"/>
      <c r="K353" s="1"/>
      <c r="L353" s="1"/>
      <c r="M353" s="1"/>
      <c r="N353" s="1"/>
      <c r="O353" s="1"/>
      <c r="P353" s="1"/>
      <c r="Q353" s="1"/>
      <c r="R353" s="1"/>
      <c r="S353" s="1"/>
      <c r="T353" s="1"/>
      <c r="U353" s="1"/>
    </row>
    <row r="354" spans="1:21" x14ac:dyDescent="0.25">
      <c r="A354" s="1"/>
      <c r="B354" s="1"/>
      <c r="C354" s="1"/>
      <c r="D354" s="1"/>
      <c r="E354" s="1"/>
      <c r="F354" s="1"/>
      <c r="G354" s="1"/>
      <c r="H354" s="1"/>
      <c r="I354" s="1"/>
      <c r="J354" s="1"/>
      <c r="K354" s="1"/>
      <c r="L354" s="1"/>
      <c r="M354" s="1"/>
      <c r="N354" s="1"/>
      <c r="O354" s="1"/>
      <c r="P354" s="1"/>
      <c r="Q354" s="1"/>
      <c r="R354" s="1"/>
      <c r="S354" s="1"/>
      <c r="T354" s="1"/>
      <c r="U354" s="1"/>
    </row>
    <row r="355" spans="1:21" x14ac:dyDescent="0.25">
      <c r="A355" s="1"/>
      <c r="B355" s="1"/>
      <c r="C355" s="1"/>
      <c r="D355" s="1"/>
      <c r="E355" s="1"/>
      <c r="F355" s="1"/>
      <c r="G355" s="1"/>
      <c r="H355" s="1"/>
      <c r="I355" s="1"/>
      <c r="J355" s="1"/>
      <c r="K355" s="1"/>
      <c r="L355" s="1"/>
      <c r="M355" s="1"/>
      <c r="N355" s="1"/>
      <c r="O355" s="1"/>
      <c r="P355" s="1"/>
      <c r="Q355" s="1"/>
      <c r="R355" s="1"/>
      <c r="S355" s="1"/>
      <c r="T355" s="1"/>
      <c r="U355" s="1"/>
    </row>
    <row r="356" spans="1:21" x14ac:dyDescent="0.25">
      <c r="A356" s="1"/>
      <c r="B356" s="1"/>
      <c r="C356" s="1"/>
      <c r="D356" s="1"/>
      <c r="E356" s="1"/>
      <c r="F356" s="1"/>
      <c r="G356" s="1"/>
      <c r="H356" s="1"/>
      <c r="I356" s="1"/>
      <c r="J356" s="1"/>
      <c r="K356" s="1"/>
      <c r="L356" s="1"/>
      <c r="M356" s="1"/>
      <c r="N356" s="1"/>
      <c r="O356" s="1"/>
      <c r="P356" s="1"/>
      <c r="Q356" s="1"/>
      <c r="R356" s="1"/>
      <c r="S356" s="1"/>
      <c r="T356" s="1"/>
      <c r="U356" s="1"/>
    </row>
    <row r="357" spans="1:21" x14ac:dyDescent="0.25">
      <c r="A357" s="1"/>
      <c r="B357" s="1"/>
      <c r="C357" s="1"/>
      <c r="D357" s="1"/>
      <c r="E357" s="1"/>
      <c r="F357" s="1"/>
      <c r="G357" s="1"/>
      <c r="H357" s="1"/>
      <c r="I357" s="1"/>
      <c r="J357" s="1"/>
      <c r="K357" s="1"/>
      <c r="L357" s="1"/>
      <c r="M357" s="1"/>
      <c r="N357" s="1"/>
      <c r="O357" s="1"/>
      <c r="P357" s="1"/>
      <c r="Q357" s="1"/>
      <c r="R357" s="1"/>
      <c r="S357" s="1"/>
      <c r="T357" s="1"/>
      <c r="U357" s="1"/>
    </row>
    <row r="358" spans="1:21" x14ac:dyDescent="0.25">
      <c r="A358" s="1"/>
      <c r="B358" s="1"/>
      <c r="C358" s="1"/>
      <c r="D358" s="1"/>
      <c r="E358" s="1"/>
      <c r="F358" s="1"/>
      <c r="G358" s="1"/>
      <c r="H358" s="1"/>
      <c r="I358" s="1"/>
      <c r="J358" s="1"/>
      <c r="K358" s="1"/>
      <c r="L358" s="1"/>
      <c r="M358" s="1"/>
      <c r="N358" s="1"/>
      <c r="O358" s="1"/>
      <c r="P358" s="1"/>
      <c r="Q358" s="1"/>
      <c r="R358" s="1"/>
      <c r="S358" s="1"/>
      <c r="T358" s="1"/>
      <c r="U358" s="1"/>
    </row>
    <row r="359" spans="1:21" x14ac:dyDescent="0.25">
      <c r="A359" s="1"/>
      <c r="B359" s="1"/>
      <c r="C359" s="1"/>
      <c r="D359" s="1"/>
      <c r="E359" s="1"/>
      <c r="F359" s="1"/>
      <c r="G359" s="1"/>
      <c r="H359" s="1"/>
      <c r="I359" s="1"/>
      <c r="J359" s="1"/>
      <c r="K359" s="1"/>
      <c r="L359" s="1"/>
      <c r="M359" s="1"/>
      <c r="N359" s="1"/>
      <c r="O359" s="1"/>
      <c r="P359" s="1"/>
      <c r="Q359" s="1"/>
      <c r="R359" s="1"/>
      <c r="S359" s="1"/>
      <c r="T359" s="1"/>
      <c r="U359" s="1"/>
    </row>
    <row r="360" spans="1:21" x14ac:dyDescent="0.25">
      <c r="A360" s="1"/>
      <c r="B360" s="1"/>
      <c r="C360" s="1"/>
      <c r="D360" s="1"/>
      <c r="E360" s="1"/>
      <c r="F360" s="1"/>
      <c r="G360" s="1"/>
      <c r="H360" s="1"/>
      <c r="I360" s="1"/>
      <c r="J360" s="1"/>
      <c r="K360" s="1"/>
      <c r="L360" s="1"/>
      <c r="M360" s="1"/>
      <c r="N360" s="1"/>
      <c r="O360" s="1"/>
      <c r="P360" s="1"/>
      <c r="Q360" s="1"/>
      <c r="R360" s="1"/>
      <c r="S360" s="1"/>
      <c r="T360" s="1"/>
      <c r="U360" s="1"/>
    </row>
    <row r="361" spans="1:21" x14ac:dyDescent="0.25">
      <c r="A361" s="1"/>
      <c r="B361" s="1"/>
      <c r="C361" s="1"/>
      <c r="D361" s="1"/>
      <c r="E361" s="1"/>
      <c r="F361" s="1"/>
      <c r="G361" s="1"/>
      <c r="H361" s="1"/>
      <c r="I361" s="1"/>
      <c r="J361" s="1"/>
      <c r="K361" s="1"/>
      <c r="L361" s="1"/>
      <c r="M361" s="1"/>
      <c r="N361" s="1"/>
      <c r="O361" s="1"/>
      <c r="P361" s="1"/>
      <c r="Q361" s="1"/>
      <c r="R361" s="1"/>
      <c r="S361" s="1"/>
      <c r="T361" s="1"/>
      <c r="U361" s="1"/>
    </row>
    <row r="362" spans="1:21" x14ac:dyDescent="0.25">
      <c r="A362" s="1"/>
      <c r="B362" s="1"/>
      <c r="C362" s="1"/>
      <c r="D362" s="1"/>
      <c r="E362" s="1"/>
      <c r="F362" s="1"/>
      <c r="G362" s="1"/>
      <c r="H362" s="1"/>
      <c r="I362" s="1"/>
      <c r="J362" s="1"/>
      <c r="K362" s="1"/>
      <c r="L362" s="1"/>
      <c r="M362" s="1"/>
      <c r="N362" s="1"/>
      <c r="O362" s="1"/>
      <c r="P362" s="1"/>
      <c r="Q362" s="1"/>
      <c r="R362" s="1"/>
      <c r="S362" s="1"/>
      <c r="T362" s="1"/>
      <c r="U362" s="1"/>
    </row>
    <row r="363" spans="1:21" x14ac:dyDescent="0.25">
      <c r="A363" s="1"/>
      <c r="B363" s="1"/>
      <c r="C363" s="1"/>
      <c r="D363" s="1"/>
      <c r="E363" s="1"/>
      <c r="F363" s="1"/>
      <c r="G363" s="1"/>
      <c r="H363" s="1"/>
      <c r="I363" s="1"/>
      <c r="J363" s="1"/>
      <c r="K363" s="1"/>
      <c r="L363" s="1"/>
      <c r="M363" s="1"/>
      <c r="N363" s="1"/>
      <c r="O363" s="1"/>
      <c r="P363" s="1"/>
      <c r="Q363" s="1"/>
      <c r="R363" s="1"/>
      <c r="S363" s="1"/>
      <c r="T363" s="1"/>
      <c r="U363" s="1"/>
    </row>
    <row r="364" spans="1:21" x14ac:dyDescent="0.25">
      <c r="A364" s="1"/>
      <c r="B364" s="1"/>
      <c r="C364" s="1"/>
      <c r="D364" s="1"/>
      <c r="E364" s="1"/>
      <c r="F364" s="1"/>
      <c r="G364" s="1"/>
      <c r="H364" s="1"/>
      <c r="I364" s="1"/>
      <c r="J364" s="1"/>
      <c r="K364" s="1"/>
      <c r="L364" s="1"/>
      <c r="M364" s="1"/>
      <c r="N364" s="1"/>
      <c r="O364" s="1"/>
      <c r="P364" s="1"/>
      <c r="Q364" s="1"/>
      <c r="R364" s="1"/>
      <c r="S364" s="1"/>
      <c r="T364" s="1"/>
      <c r="U364" s="1"/>
    </row>
    <row r="365" spans="1:21" x14ac:dyDescent="0.25">
      <c r="A365" s="1"/>
      <c r="B365" s="1"/>
      <c r="C365" s="1"/>
      <c r="D365" s="1"/>
      <c r="E365" s="1"/>
      <c r="F365" s="1"/>
      <c r="G365" s="1"/>
      <c r="H365" s="1"/>
      <c r="I365" s="1"/>
      <c r="J365" s="1"/>
      <c r="K365" s="1"/>
      <c r="L365" s="1"/>
      <c r="M365" s="1"/>
      <c r="N365" s="1"/>
      <c r="O365" s="1"/>
      <c r="P365" s="1"/>
      <c r="Q365" s="1"/>
      <c r="R365" s="1"/>
      <c r="S365" s="1"/>
      <c r="T365" s="1"/>
      <c r="U365" s="1"/>
    </row>
    <row r="366" spans="1:21" x14ac:dyDescent="0.25">
      <c r="A366" s="1"/>
      <c r="B366" s="1"/>
      <c r="C366" s="1"/>
      <c r="D366" s="1"/>
      <c r="E366" s="1"/>
      <c r="F366" s="1"/>
      <c r="G366" s="1"/>
      <c r="H366" s="1"/>
      <c r="I366" s="1"/>
      <c r="J366" s="1"/>
      <c r="K366" s="1"/>
      <c r="L366" s="1"/>
      <c r="M366" s="1"/>
      <c r="N366" s="1"/>
      <c r="O366" s="1"/>
      <c r="P366" s="1"/>
      <c r="Q366" s="1"/>
      <c r="R366" s="1"/>
      <c r="S366" s="1"/>
      <c r="T366" s="1"/>
      <c r="U366" s="1"/>
    </row>
    <row r="367" spans="1:21" x14ac:dyDescent="0.25">
      <c r="A367" s="1"/>
      <c r="B367" s="1"/>
      <c r="C367" s="1"/>
      <c r="D367" s="1"/>
      <c r="E367" s="1"/>
      <c r="F367" s="1"/>
      <c r="G367" s="1"/>
      <c r="H367" s="1"/>
      <c r="I367" s="1"/>
      <c r="J367" s="1"/>
      <c r="K367" s="1"/>
      <c r="L367" s="1"/>
      <c r="M367" s="1"/>
      <c r="N367" s="1"/>
      <c r="O367" s="1"/>
      <c r="P367" s="1"/>
      <c r="Q367" s="1"/>
      <c r="R367" s="1"/>
      <c r="S367" s="1"/>
      <c r="T367" s="1"/>
      <c r="U367" s="1"/>
    </row>
    <row r="368" spans="1:21" x14ac:dyDescent="0.25">
      <c r="A368" s="1"/>
      <c r="B368" s="1"/>
      <c r="C368" s="1"/>
      <c r="D368" s="1"/>
      <c r="E368" s="1"/>
      <c r="F368" s="1"/>
      <c r="G368" s="1"/>
      <c r="H368" s="1"/>
      <c r="I368" s="1"/>
      <c r="J368" s="1"/>
      <c r="K368" s="1"/>
      <c r="L368" s="1"/>
      <c r="M368" s="1"/>
      <c r="N368" s="1"/>
      <c r="O368" s="1"/>
      <c r="P368" s="1"/>
      <c r="Q368" s="1"/>
      <c r="R368" s="1"/>
      <c r="S368" s="1"/>
      <c r="T368" s="1"/>
      <c r="U368" s="1"/>
    </row>
    <row r="369" spans="1:21" x14ac:dyDescent="0.25">
      <c r="A369" s="1"/>
      <c r="B369" s="1"/>
      <c r="C369" s="1"/>
      <c r="D369" s="1"/>
      <c r="E369" s="1"/>
      <c r="F369" s="1"/>
      <c r="G369" s="1"/>
      <c r="H369" s="1"/>
      <c r="I369" s="1"/>
      <c r="J369" s="1"/>
      <c r="K369" s="1"/>
      <c r="L369" s="1"/>
      <c r="M369" s="1"/>
      <c r="N369" s="1"/>
      <c r="O369" s="1"/>
      <c r="P369" s="1"/>
      <c r="Q369" s="1"/>
      <c r="R369" s="1"/>
      <c r="S369" s="1"/>
      <c r="T369" s="1"/>
      <c r="U369" s="1"/>
    </row>
    <row r="370" spans="1:21" x14ac:dyDescent="0.25">
      <c r="A370" s="1"/>
      <c r="B370" s="1"/>
      <c r="C370" s="1"/>
      <c r="D370" s="1"/>
      <c r="E370" s="1"/>
      <c r="F370" s="1"/>
      <c r="G370" s="1"/>
      <c r="H370" s="1"/>
      <c r="I370" s="1"/>
      <c r="J370" s="1"/>
      <c r="K370" s="1"/>
      <c r="L370" s="1"/>
      <c r="M370" s="1"/>
      <c r="N370" s="1"/>
      <c r="O370" s="1"/>
      <c r="P370" s="1"/>
      <c r="Q370" s="1"/>
      <c r="R370" s="1"/>
      <c r="S370" s="1"/>
      <c r="T370" s="1"/>
      <c r="U370" s="1"/>
    </row>
    <row r="371" spans="1:21" x14ac:dyDescent="0.25">
      <c r="A371" s="1"/>
      <c r="B371" s="1"/>
      <c r="C371" s="1"/>
      <c r="D371" s="1"/>
      <c r="E371" s="1"/>
      <c r="F371" s="1"/>
      <c r="G371" s="1"/>
      <c r="H371" s="1"/>
      <c r="I371" s="1"/>
      <c r="J371" s="1"/>
      <c r="K371" s="1"/>
      <c r="L371" s="1"/>
      <c r="M371" s="1"/>
      <c r="N371" s="1"/>
      <c r="O371" s="1"/>
      <c r="P371" s="1"/>
      <c r="Q371" s="1"/>
      <c r="R371" s="1"/>
      <c r="S371" s="1"/>
      <c r="T371" s="1"/>
      <c r="U371" s="1"/>
    </row>
    <row r="372" spans="1:21" x14ac:dyDescent="0.25">
      <c r="A372" s="1"/>
      <c r="B372" s="1"/>
      <c r="C372" s="1"/>
      <c r="D372" s="1"/>
      <c r="E372" s="1"/>
      <c r="F372" s="1"/>
      <c r="G372" s="1"/>
      <c r="H372" s="1"/>
      <c r="I372" s="1"/>
      <c r="J372" s="1"/>
      <c r="K372" s="1"/>
      <c r="L372" s="1"/>
      <c r="M372" s="1"/>
      <c r="N372" s="1"/>
      <c r="O372" s="1"/>
      <c r="P372" s="1"/>
      <c r="Q372" s="1"/>
      <c r="R372" s="1"/>
      <c r="S372" s="1"/>
      <c r="T372" s="1"/>
      <c r="U372" s="1"/>
    </row>
    <row r="373" spans="1:21" x14ac:dyDescent="0.25">
      <c r="A373" s="1"/>
      <c r="B373" s="1"/>
      <c r="C373" s="1"/>
      <c r="D373" s="1"/>
      <c r="E373" s="1"/>
      <c r="F373" s="1"/>
      <c r="G373" s="1"/>
      <c r="H373" s="1"/>
      <c r="I373" s="1"/>
      <c r="J373" s="1"/>
      <c r="K373" s="1"/>
      <c r="L373" s="1"/>
      <c r="M373" s="1"/>
      <c r="N373" s="1"/>
      <c r="O373" s="1"/>
      <c r="P373" s="1"/>
      <c r="Q373" s="1"/>
      <c r="R373" s="1"/>
      <c r="S373" s="1"/>
      <c r="T373" s="1"/>
      <c r="U373" s="1"/>
    </row>
    <row r="374" spans="1:21" x14ac:dyDescent="0.25">
      <c r="A374" s="1"/>
      <c r="B374" s="1"/>
      <c r="C374" s="1"/>
      <c r="D374" s="1"/>
      <c r="E374" s="1"/>
      <c r="F374" s="1"/>
      <c r="G374" s="1"/>
      <c r="H374" s="1"/>
      <c r="I374" s="1"/>
      <c r="J374" s="1"/>
      <c r="K374" s="1"/>
      <c r="L374" s="1"/>
      <c r="M374" s="1"/>
      <c r="N374" s="1"/>
      <c r="O374" s="1"/>
      <c r="P374" s="1"/>
      <c r="Q374" s="1"/>
      <c r="R374" s="1"/>
      <c r="S374" s="1"/>
      <c r="T374" s="1"/>
      <c r="U374" s="1"/>
    </row>
    <row r="375" spans="1:21" x14ac:dyDescent="0.25">
      <c r="A375" s="1"/>
      <c r="B375" s="1"/>
      <c r="C375" s="1"/>
      <c r="D375" s="1"/>
      <c r="E375" s="1"/>
      <c r="F375" s="1"/>
      <c r="G375" s="1"/>
      <c r="H375" s="1"/>
      <c r="I375" s="1"/>
      <c r="J375" s="1"/>
      <c r="K375" s="1"/>
      <c r="L375" s="1"/>
      <c r="M375" s="1"/>
      <c r="N375" s="1"/>
      <c r="O375" s="1"/>
      <c r="P375" s="1"/>
      <c r="Q375" s="1"/>
      <c r="R375" s="1"/>
      <c r="S375" s="1"/>
      <c r="T375" s="1"/>
      <c r="U375" s="1"/>
    </row>
    <row r="376" spans="1:21" x14ac:dyDescent="0.25">
      <c r="A376" s="1"/>
      <c r="B376" s="1"/>
      <c r="C376" s="1"/>
      <c r="D376" s="1"/>
      <c r="E376" s="1"/>
      <c r="F376" s="1"/>
      <c r="G376" s="1"/>
      <c r="H376" s="1"/>
      <c r="I376" s="1"/>
      <c r="J376" s="1"/>
      <c r="K376" s="1"/>
      <c r="L376" s="1"/>
      <c r="M376" s="1"/>
      <c r="N376" s="1"/>
      <c r="O376" s="1"/>
      <c r="P376" s="1"/>
      <c r="Q376" s="1"/>
      <c r="R376" s="1"/>
      <c r="S376" s="1"/>
      <c r="T376" s="1"/>
      <c r="U376" s="1"/>
    </row>
    <row r="377" spans="1:21" x14ac:dyDescent="0.25">
      <c r="A377" s="1"/>
      <c r="B377" s="1"/>
      <c r="C377" s="1"/>
      <c r="D377" s="1"/>
      <c r="E377" s="1"/>
      <c r="F377" s="1"/>
      <c r="G377" s="1"/>
      <c r="H377" s="1"/>
      <c r="I377" s="1"/>
      <c r="J377" s="1"/>
      <c r="K377" s="1"/>
      <c r="L377" s="1"/>
      <c r="M377" s="1"/>
      <c r="N377" s="1"/>
      <c r="O377" s="1"/>
      <c r="P377" s="1"/>
      <c r="Q377" s="1"/>
      <c r="R377" s="1"/>
      <c r="S377" s="1"/>
      <c r="T377" s="1"/>
      <c r="U377" s="1"/>
    </row>
    <row r="378" spans="1:21" x14ac:dyDescent="0.25">
      <c r="A378" s="1"/>
      <c r="B378" s="1"/>
      <c r="C378" s="1"/>
      <c r="D378" s="1"/>
      <c r="E378" s="1"/>
      <c r="F378" s="1"/>
      <c r="G378" s="1"/>
      <c r="H378" s="1"/>
      <c r="I378" s="1"/>
      <c r="J378" s="1"/>
      <c r="K378" s="1"/>
      <c r="L378" s="1"/>
      <c r="M378" s="1"/>
      <c r="N378" s="1"/>
      <c r="O378" s="1"/>
      <c r="P378" s="1"/>
      <c r="Q378" s="1"/>
      <c r="R378" s="1"/>
      <c r="S378" s="1"/>
      <c r="T378" s="1"/>
      <c r="U378" s="1"/>
    </row>
    <row r="379" spans="1:21" x14ac:dyDescent="0.25">
      <c r="A379" s="1"/>
      <c r="B379" s="1"/>
      <c r="C379" s="1"/>
      <c r="D379" s="1"/>
      <c r="E379" s="1"/>
      <c r="F379" s="1"/>
      <c r="G379" s="1"/>
      <c r="H379" s="1"/>
      <c r="I379" s="1"/>
      <c r="J379" s="1"/>
      <c r="K379" s="1"/>
      <c r="L379" s="1"/>
      <c r="M379" s="1"/>
      <c r="N379" s="1"/>
      <c r="O379" s="1"/>
      <c r="P379" s="1"/>
      <c r="Q379" s="1"/>
      <c r="R379" s="1"/>
      <c r="S379" s="1"/>
      <c r="T379" s="1"/>
      <c r="U379" s="1"/>
    </row>
    <row r="380" spans="1:21" x14ac:dyDescent="0.25">
      <c r="A380" s="1"/>
      <c r="B380" s="1"/>
      <c r="C380" s="1"/>
      <c r="D380" s="1"/>
      <c r="E380" s="1"/>
      <c r="F380" s="1"/>
      <c r="G380" s="1"/>
      <c r="H380" s="1"/>
      <c r="I380" s="1"/>
      <c r="J380" s="1"/>
      <c r="K380" s="1"/>
      <c r="L380" s="1"/>
      <c r="M380" s="1"/>
      <c r="N380" s="1"/>
      <c r="O380" s="1"/>
      <c r="P380" s="1"/>
      <c r="Q380" s="1"/>
      <c r="R380" s="1"/>
      <c r="S380" s="1"/>
      <c r="T380" s="1"/>
      <c r="U380" s="1"/>
    </row>
    <row r="381" spans="1:21" x14ac:dyDescent="0.25">
      <c r="A381" s="1"/>
      <c r="B381" s="1"/>
      <c r="C381" s="1"/>
      <c r="D381" s="1"/>
      <c r="E381" s="1"/>
      <c r="F381" s="1"/>
      <c r="G381" s="1"/>
      <c r="H381" s="1"/>
      <c r="I381" s="1"/>
      <c r="J381" s="1"/>
      <c r="K381" s="1"/>
      <c r="L381" s="1"/>
      <c r="M381" s="1"/>
      <c r="N381" s="1"/>
      <c r="O381" s="1"/>
      <c r="P381" s="1"/>
      <c r="Q381" s="1"/>
      <c r="R381" s="1"/>
      <c r="S381" s="1"/>
      <c r="T381" s="1"/>
      <c r="U381" s="1"/>
    </row>
    <row r="382" spans="1:21" x14ac:dyDescent="0.25">
      <c r="A382" s="1"/>
      <c r="B382" s="1"/>
      <c r="C382" s="1"/>
      <c r="D382" s="1"/>
      <c r="E382" s="1"/>
      <c r="F382" s="1"/>
      <c r="G382" s="1"/>
      <c r="H382" s="1"/>
      <c r="I382" s="1"/>
      <c r="J382" s="1"/>
      <c r="K382" s="1"/>
      <c r="L382" s="1"/>
      <c r="M382" s="1"/>
      <c r="N382" s="1"/>
      <c r="O382" s="1"/>
      <c r="P382" s="1"/>
      <c r="Q382" s="1"/>
      <c r="R382" s="1"/>
      <c r="S382" s="1"/>
      <c r="T382" s="1"/>
      <c r="U382" s="1"/>
    </row>
    <row r="383" spans="1:21" x14ac:dyDescent="0.25">
      <c r="A383" s="1"/>
      <c r="B383" s="1"/>
      <c r="C383" s="1"/>
      <c r="D383" s="1"/>
      <c r="E383" s="1"/>
      <c r="F383" s="1"/>
      <c r="G383" s="1"/>
      <c r="H383" s="1"/>
      <c r="I383" s="1"/>
      <c r="J383" s="1"/>
      <c r="K383" s="1"/>
      <c r="L383" s="1"/>
      <c r="M383" s="1"/>
      <c r="N383" s="1"/>
      <c r="O383" s="1"/>
      <c r="P383" s="1"/>
      <c r="Q383" s="1"/>
      <c r="R383" s="1"/>
      <c r="S383" s="1"/>
      <c r="T383" s="1"/>
      <c r="U383" s="1"/>
    </row>
    <row r="384" spans="1:21" x14ac:dyDescent="0.25">
      <c r="A384" s="1"/>
      <c r="B384" s="1"/>
      <c r="C384" s="1"/>
      <c r="D384" s="1"/>
      <c r="E384" s="1"/>
      <c r="F384" s="1"/>
      <c r="G384" s="1"/>
      <c r="H384" s="1"/>
      <c r="I384" s="1"/>
      <c r="J384" s="1"/>
      <c r="K384" s="1"/>
      <c r="L384" s="1"/>
      <c r="M384" s="1"/>
      <c r="N384" s="1"/>
      <c r="O384" s="1"/>
      <c r="P384" s="1"/>
      <c r="Q384" s="1"/>
      <c r="R384" s="1"/>
      <c r="S384" s="1"/>
      <c r="T384" s="1"/>
      <c r="U384" s="1"/>
    </row>
    <row r="385" spans="1:21" x14ac:dyDescent="0.25">
      <c r="A385" s="1"/>
      <c r="B385" s="1"/>
      <c r="C385" s="1"/>
      <c r="D385" s="1"/>
      <c r="E385" s="1"/>
      <c r="F385" s="1"/>
      <c r="G385" s="1"/>
      <c r="H385" s="1"/>
      <c r="I385" s="1"/>
      <c r="J385" s="1"/>
      <c r="K385" s="1"/>
      <c r="L385" s="1"/>
      <c r="M385" s="1"/>
      <c r="N385" s="1"/>
      <c r="O385" s="1"/>
      <c r="P385" s="1"/>
      <c r="Q385" s="1"/>
      <c r="R385" s="1"/>
      <c r="S385" s="1"/>
      <c r="T385" s="1"/>
      <c r="U385" s="1"/>
    </row>
    <row r="386" spans="1:21" x14ac:dyDescent="0.25">
      <c r="A386" s="1"/>
      <c r="B386" s="1"/>
      <c r="C386" s="1"/>
      <c r="D386" s="1"/>
      <c r="E386" s="1"/>
      <c r="F386" s="1"/>
      <c r="G386" s="1"/>
      <c r="H386" s="1"/>
      <c r="I386" s="1"/>
      <c r="J386" s="1"/>
      <c r="K386" s="1"/>
      <c r="L386" s="1"/>
      <c r="M386" s="1"/>
      <c r="N386" s="1"/>
      <c r="O386" s="1"/>
      <c r="P386" s="1"/>
      <c r="Q386" s="1"/>
      <c r="R386" s="1"/>
      <c r="S386" s="1"/>
      <c r="T386" s="1"/>
      <c r="U386" s="1"/>
    </row>
    <row r="387" spans="1:21" x14ac:dyDescent="0.25">
      <c r="A387" s="1"/>
      <c r="B387" s="1"/>
      <c r="C387" s="1"/>
      <c r="D387" s="1"/>
      <c r="E387" s="1"/>
      <c r="F387" s="1"/>
      <c r="G387" s="1"/>
      <c r="H387" s="1"/>
      <c r="I387" s="1"/>
      <c r="J387" s="1"/>
      <c r="K387" s="1"/>
      <c r="L387" s="1"/>
      <c r="M387" s="1"/>
      <c r="N387" s="1"/>
      <c r="O387" s="1"/>
      <c r="P387" s="1"/>
      <c r="Q387" s="1"/>
      <c r="R387" s="1"/>
      <c r="S387" s="1"/>
      <c r="T387" s="1"/>
      <c r="U387" s="1"/>
    </row>
    <row r="388" spans="1:21" x14ac:dyDescent="0.25">
      <c r="A388" s="1"/>
      <c r="B388" s="1"/>
      <c r="C388" s="1"/>
      <c r="D388" s="1"/>
      <c r="E388" s="1"/>
      <c r="F388" s="1"/>
      <c r="G388" s="1"/>
      <c r="H388" s="1"/>
      <c r="I388" s="1"/>
      <c r="J388" s="1"/>
      <c r="K388" s="1"/>
      <c r="L388" s="1"/>
      <c r="M388" s="1"/>
      <c r="N388" s="1"/>
      <c r="O388" s="1"/>
      <c r="P388" s="1"/>
      <c r="Q388" s="1"/>
      <c r="R388" s="1"/>
      <c r="S388" s="1"/>
      <c r="T388" s="1"/>
      <c r="U388" s="1"/>
    </row>
    <row r="389" spans="1:21" x14ac:dyDescent="0.25">
      <c r="A389" s="1"/>
      <c r="B389" s="1"/>
      <c r="C389" s="1"/>
      <c r="D389" s="1"/>
      <c r="E389" s="1"/>
      <c r="F389" s="1"/>
      <c r="G389" s="1"/>
      <c r="H389" s="1"/>
      <c r="I389" s="1"/>
      <c r="J389" s="1"/>
      <c r="K389" s="1"/>
      <c r="L389" s="1"/>
      <c r="M389" s="1"/>
      <c r="N389" s="1"/>
      <c r="O389" s="1"/>
      <c r="P389" s="1"/>
      <c r="Q389" s="1"/>
      <c r="R389" s="1"/>
      <c r="S389" s="1"/>
      <c r="T389" s="1"/>
      <c r="U389" s="1"/>
    </row>
    <row r="390" spans="1:21" x14ac:dyDescent="0.25">
      <c r="A390" s="1"/>
      <c r="B390" s="1"/>
      <c r="C390" s="1"/>
      <c r="D390" s="1"/>
      <c r="E390" s="1"/>
      <c r="F390" s="1"/>
      <c r="G390" s="1"/>
      <c r="H390" s="1"/>
      <c r="I390" s="1"/>
      <c r="J390" s="1"/>
      <c r="K390" s="1"/>
      <c r="L390" s="1"/>
      <c r="M390" s="1"/>
      <c r="N390" s="1"/>
      <c r="O390" s="1"/>
      <c r="P390" s="1"/>
      <c r="Q390" s="1"/>
      <c r="R390" s="1"/>
      <c r="S390" s="1"/>
      <c r="T390" s="1"/>
      <c r="U390" s="1"/>
    </row>
    <row r="391" spans="1:21" x14ac:dyDescent="0.25">
      <c r="A391" s="1"/>
      <c r="B391" s="1"/>
      <c r="C391" s="1"/>
      <c r="D391" s="1"/>
      <c r="E391" s="1"/>
      <c r="F391" s="1"/>
      <c r="G391" s="1"/>
      <c r="H391" s="1"/>
      <c r="I391" s="1"/>
      <c r="J391" s="1"/>
      <c r="K391" s="1"/>
      <c r="L391" s="1"/>
      <c r="M391" s="1"/>
      <c r="N391" s="1"/>
      <c r="O391" s="1"/>
      <c r="P391" s="1"/>
      <c r="Q391" s="1"/>
      <c r="R391" s="1"/>
      <c r="S391" s="1"/>
      <c r="T391" s="1"/>
      <c r="U391" s="1"/>
    </row>
    <row r="392" spans="1:21" x14ac:dyDescent="0.25">
      <c r="A392" s="1"/>
      <c r="B392" s="1"/>
      <c r="C392" s="1"/>
      <c r="D392" s="1"/>
      <c r="E392" s="1"/>
      <c r="F392" s="1"/>
      <c r="G392" s="1"/>
      <c r="H392" s="1"/>
      <c r="I392" s="1"/>
      <c r="J392" s="1"/>
      <c r="K392" s="1"/>
      <c r="L392" s="1"/>
      <c r="M392" s="1"/>
      <c r="N392" s="1"/>
      <c r="O392" s="1"/>
      <c r="P392" s="1"/>
      <c r="Q392" s="1"/>
      <c r="R392" s="1"/>
      <c r="S392" s="1"/>
      <c r="T392" s="1"/>
      <c r="U392" s="1"/>
    </row>
    <row r="393" spans="1:21" x14ac:dyDescent="0.25">
      <c r="A393" s="1"/>
      <c r="B393" s="1"/>
      <c r="C393" s="1"/>
      <c r="D393" s="1"/>
      <c r="E393" s="1"/>
      <c r="F393" s="1"/>
      <c r="G393" s="1"/>
      <c r="H393" s="1"/>
      <c r="I393" s="1"/>
      <c r="J393" s="1"/>
      <c r="K393" s="1"/>
      <c r="L393" s="1"/>
      <c r="M393" s="1"/>
      <c r="N393" s="1"/>
      <c r="O393" s="1"/>
      <c r="P393" s="1"/>
      <c r="Q393" s="1"/>
      <c r="R393" s="1"/>
      <c r="S393" s="1"/>
      <c r="T393" s="1"/>
      <c r="U393" s="1"/>
    </row>
    <row r="394" spans="1:21" x14ac:dyDescent="0.25">
      <c r="A394" s="1"/>
      <c r="B394" s="1"/>
      <c r="C394" s="1"/>
      <c r="D394" s="1"/>
      <c r="E394" s="1"/>
      <c r="F394" s="1"/>
      <c r="G394" s="1"/>
      <c r="H394" s="1"/>
      <c r="I394" s="1"/>
      <c r="J394" s="1"/>
      <c r="K394" s="1"/>
      <c r="L394" s="1"/>
      <c r="M394" s="1"/>
      <c r="N394" s="1"/>
      <c r="O394" s="1"/>
      <c r="P394" s="1"/>
      <c r="Q394" s="1"/>
      <c r="R394" s="1"/>
      <c r="S394" s="1"/>
      <c r="T394" s="1"/>
      <c r="U394" s="1"/>
    </row>
    <row r="395" spans="1:21" x14ac:dyDescent="0.25">
      <c r="A395" s="1"/>
      <c r="B395" s="1"/>
      <c r="C395" s="1"/>
      <c r="D395" s="1"/>
      <c r="E395" s="1"/>
      <c r="F395" s="1"/>
      <c r="G395" s="1"/>
      <c r="H395" s="1"/>
      <c r="I395" s="1"/>
      <c r="J395" s="1"/>
      <c r="K395" s="1"/>
      <c r="L395" s="1"/>
      <c r="M395" s="1"/>
      <c r="N395" s="1"/>
      <c r="O395" s="1"/>
      <c r="P395" s="1"/>
      <c r="Q395" s="1"/>
      <c r="R395" s="1"/>
      <c r="S395" s="1"/>
      <c r="T395" s="1"/>
      <c r="U395" s="1"/>
    </row>
    <row r="396" spans="1:21" x14ac:dyDescent="0.25">
      <c r="A396" s="1"/>
      <c r="B396" s="1"/>
      <c r="C396" s="1"/>
      <c r="D396" s="1"/>
      <c r="E396" s="1"/>
      <c r="F396" s="1"/>
      <c r="G396" s="1"/>
      <c r="H396" s="1"/>
      <c r="I396" s="1"/>
      <c r="J396" s="1"/>
      <c r="K396" s="1"/>
      <c r="L396" s="1"/>
      <c r="M396" s="1"/>
      <c r="N396" s="1"/>
      <c r="O396" s="1"/>
      <c r="P396" s="1"/>
      <c r="Q396" s="1"/>
      <c r="R396" s="1"/>
      <c r="S396" s="1"/>
      <c r="T396" s="1"/>
      <c r="U396" s="1"/>
    </row>
    <row r="397" spans="1:21" x14ac:dyDescent="0.25">
      <c r="A397" s="1"/>
      <c r="B397" s="1"/>
      <c r="C397" s="1"/>
      <c r="D397" s="1"/>
      <c r="E397" s="1"/>
      <c r="F397" s="1"/>
      <c r="G397" s="1"/>
      <c r="H397" s="1"/>
      <c r="I397" s="1"/>
      <c r="J397" s="1"/>
      <c r="K397" s="1"/>
      <c r="L397" s="1"/>
      <c r="M397" s="1"/>
      <c r="N397" s="1"/>
      <c r="O397" s="1"/>
      <c r="P397" s="1"/>
      <c r="Q397" s="1"/>
      <c r="R397" s="1"/>
      <c r="S397" s="1"/>
      <c r="T397" s="1"/>
      <c r="U397" s="1"/>
    </row>
    <row r="398" spans="1:21" x14ac:dyDescent="0.25">
      <c r="A398" s="1"/>
      <c r="B398" s="1"/>
      <c r="C398" s="1"/>
      <c r="D398" s="1"/>
      <c r="E398" s="1"/>
      <c r="F398" s="1"/>
      <c r="G398" s="1"/>
      <c r="H398" s="1"/>
      <c r="I398" s="1"/>
      <c r="J398" s="1"/>
      <c r="K398" s="1"/>
      <c r="L398" s="1"/>
      <c r="M398" s="1"/>
      <c r="N398" s="1"/>
      <c r="O398" s="1"/>
      <c r="P398" s="1"/>
      <c r="Q398" s="1"/>
      <c r="R398" s="1"/>
      <c r="S398" s="1"/>
      <c r="T398" s="1"/>
      <c r="U398" s="1"/>
    </row>
    <row r="399" spans="1:21" x14ac:dyDescent="0.25">
      <c r="A399" s="1"/>
      <c r="B399" s="1"/>
      <c r="C399" s="1"/>
      <c r="D399" s="1"/>
      <c r="E399" s="1"/>
      <c r="F399" s="1"/>
      <c r="G399" s="1"/>
      <c r="H399" s="1"/>
      <c r="I399" s="1"/>
      <c r="J399" s="1"/>
      <c r="K399" s="1"/>
      <c r="L399" s="1"/>
      <c r="M399" s="1"/>
      <c r="N399" s="1"/>
      <c r="O399" s="1"/>
      <c r="P399" s="1"/>
      <c r="Q399" s="1"/>
      <c r="R399" s="1"/>
      <c r="S399" s="1"/>
      <c r="T399" s="1"/>
      <c r="U399" s="1"/>
    </row>
    <row r="400" spans="1:21" x14ac:dyDescent="0.25">
      <c r="A400" s="1"/>
      <c r="B400" s="1"/>
      <c r="C400" s="1"/>
      <c r="D400" s="1"/>
      <c r="E400" s="1"/>
      <c r="F400" s="1"/>
      <c r="G400" s="1"/>
      <c r="H400" s="1"/>
      <c r="I400" s="1"/>
      <c r="J400" s="1"/>
      <c r="K400" s="1"/>
      <c r="L400" s="1"/>
      <c r="M400" s="1"/>
      <c r="N400" s="1"/>
      <c r="O400" s="1"/>
      <c r="P400" s="1"/>
      <c r="Q400" s="1"/>
      <c r="R400" s="1"/>
      <c r="S400" s="1"/>
      <c r="T400" s="1"/>
      <c r="U400" s="1"/>
    </row>
    <row r="401" spans="1:21" x14ac:dyDescent="0.25">
      <c r="A401" s="1"/>
      <c r="B401" s="1"/>
      <c r="C401" s="1"/>
      <c r="D401" s="1"/>
      <c r="E401" s="1"/>
      <c r="F401" s="1"/>
      <c r="G401" s="1"/>
      <c r="H401" s="1"/>
      <c r="I401" s="1"/>
      <c r="J401" s="1"/>
      <c r="K401" s="1"/>
      <c r="L401" s="1"/>
      <c r="M401" s="1"/>
      <c r="N401" s="1"/>
      <c r="O401" s="1"/>
      <c r="P401" s="1"/>
      <c r="Q401" s="1"/>
      <c r="R401" s="1"/>
      <c r="S401" s="1"/>
      <c r="T401" s="1"/>
      <c r="U401" s="1"/>
    </row>
    <row r="402" spans="1:21" x14ac:dyDescent="0.25">
      <c r="A402" s="1"/>
      <c r="B402" s="1"/>
      <c r="C402" s="1"/>
      <c r="D402" s="1"/>
      <c r="E402" s="1"/>
      <c r="F402" s="1"/>
      <c r="G402" s="1"/>
      <c r="H402" s="1"/>
      <c r="I402" s="1"/>
      <c r="J402" s="1"/>
      <c r="K402" s="1"/>
      <c r="L402" s="1"/>
      <c r="M402" s="1"/>
      <c r="N402" s="1"/>
      <c r="O402" s="1"/>
      <c r="P402" s="1"/>
      <c r="Q402" s="1"/>
      <c r="R402" s="1"/>
      <c r="S402" s="1"/>
      <c r="T402" s="1"/>
      <c r="U402" s="1"/>
    </row>
    <row r="403" spans="1:21" x14ac:dyDescent="0.25">
      <c r="A403" s="1"/>
      <c r="B403" s="1"/>
      <c r="C403" s="1"/>
      <c r="D403" s="1"/>
      <c r="E403" s="1"/>
      <c r="F403" s="1"/>
      <c r="G403" s="1"/>
      <c r="H403" s="1"/>
      <c r="I403" s="1"/>
      <c r="J403" s="1"/>
      <c r="K403" s="1"/>
      <c r="L403" s="1"/>
      <c r="M403" s="1"/>
      <c r="N403" s="1"/>
      <c r="O403" s="1"/>
      <c r="P403" s="1"/>
      <c r="Q403" s="1"/>
      <c r="R403" s="1"/>
      <c r="S403" s="1"/>
      <c r="T403" s="1"/>
      <c r="U403" s="1"/>
    </row>
    <row r="404" spans="1:21" x14ac:dyDescent="0.25">
      <c r="A404" s="1"/>
      <c r="B404" s="1"/>
      <c r="C404" s="1"/>
      <c r="D404" s="1"/>
      <c r="E404" s="1"/>
      <c r="F404" s="1"/>
      <c r="G404" s="1"/>
      <c r="H404" s="1"/>
      <c r="I404" s="1"/>
      <c r="J404" s="1"/>
      <c r="K404" s="1"/>
      <c r="L404" s="1"/>
      <c r="M404" s="1"/>
      <c r="N404" s="1"/>
      <c r="O404" s="1"/>
      <c r="P404" s="1"/>
      <c r="Q404" s="1"/>
      <c r="R404" s="1"/>
      <c r="S404" s="1"/>
      <c r="T404" s="1"/>
      <c r="U404" s="1"/>
    </row>
    <row r="405" spans="1:21" x14ac:dyDescent="0.25">
      <c r="A405" s="1"/>
      <c r="B405" s="1"/>
      <c r="C405" s="1"/>
      <c r="D405" s="1"/>
      <c r="E405" s="1"/>
      <c r="F405" s="1"/>
      <c r="G405" s="1"/>
      <c r="H405" s="1"/>
      <c r="I405" s="1"/>
      <c r="J405" s="1"/>
      <c r="K405" s="1"/>
      <c r="L405" s="1"/>
      <c r="M405" s="1"/>
      <c r="N405" s="1"/>
      <c r="O405" s="1"/>
      <c r="P405" s="1"/>
      <c r="Q405" s="1"/>
      <c r="R405" s="1"/>
      <c r="S405" s="1"/>
      <c r="T405" s="1"/>
      <c r="U405" s="1"/>
    </row>
    <row r="406" spans="1:21" x14ac:dyDescent="0.25">
      <c r="A406" s="1"/>
      <c r="B406" s="1"/>
      <c r="C406" s="1"/>
      <c r="D406" s="1"/>
      <c r="E406" s="1"/>
      <c r="F406" s="1"/>
      <c r="G406" s="1"/>
      <c r="H406" s="1"/>
      <c r="I406" s="1"/>
      <c r="J406" s="1"/>
      <c r="K406" s="1"/>
      <c r="L406" s="1"/>
      <c r="M406" s="1"/>
      <c r="N406" s="1"/>
      <c r="O406" s="1"/>
      <c r="P406" s="1"/>
      <c r="Q406" s="1"/>
      <c r="R406" s="1"/>
      <c r="S406" s="1"/>
      <c r="T406" s="1"/>
      <c r="U406" s="1"/>
    </row>
    <row r="407" spans="1:21" x14ac:dyDescent="0.25">
      <c r="A407" s="1"/>
      <c r="B407" s="1"/>
      <c r="C407" s="1"/>
      <c r="D407" s="1"/>
      <c r="E407" s="1"/>
      <c r="F407" s="1"/>
      <c r="G407" s="1"/>
      <c r="H407" s="1"/>
      <c r="I407" s="1"/>
      <c r="J407" s="1"/>
      <c r="K407" s="1"/>
      <c r="L407" s="1"/>
      <c r="M407" s="1"/>
      <c r="N407" s="1"/>
      <c r="O407" s="1"/>
      <c r="P407" s="1"/>
      <c r="Q407" s="1"/>
      <c r="R407" s="1"/>
      <c r="S407" s="1"/>
      <c r="T407" s="1"/>
      <c r="U407" s="1"/>
    </row>
    <row r="408" spans="1:21" x14ac:dyDescent="0.25">
      <c r="A408" s="1"/>
      <c r="B408" s="1"/>
      <c r="C408" s="1"/>
      <c r="D408" s="1"/>
      <c r="E408" s="1"/>
      <c r="F408" s="1"/>
      <c r="G408" s="1"/>
      <c r="H408" s="1"/>
      <c r="I408" s="1"/>
      <c r="J408" s="1"/>
      <c r="K408" s="1"/>
      <c r="L408" s="1"/>
      <c r="M408" s="1"/>
      <c r="N408" s="1"/>
      <c r="O408" s="1"/>
      <c r="P408" s="1"/>
      <c r="Q408" s="1"/>
      <c r="R408" s="1"/>
      <c r="S408" s="1"/>
      <c r="T408" s="1"/>
      <c r="U408" s="1"/>
    </row>
    <row r="409" spans="1:21" x14ac:dyDescent="0.25">
      <c r="A409" s="1"/>
      <c r="B409" s="1"/>
      <c r="C409" s="1"/>
      <c r="D409" s="1"/>
      <c r="E409" s="1"/>
      <c r="F409" s="1"/>
      <c r="G409" s="1"/>
      <c r="H409" s="1"/>
      <c r="I409" s="1"/>
      <c r="J409" s="1"/>
      <c r="K409" s="1"/>
      <c r="L409" s="1"/>
      <c r="M409" s="1"/>
      <c r="N409" s="1"/>
      <c r="O409" s="1"/>
      <c r="P409" s="1"/>
      <c r="Q409" s="1"/>
      <c r="R409" s="1"/>
      <c r="S409" s="1"/>
      <c r="T409" s="1"/>
      <c r="U409" s="1"/>
    </row>
    <row r="410" spans="1:21" x14ac:dyDescent="0.25">
      <c r="A410" s="1"/>
      <c r="B410" s="1"/>
      <c r="C410" s="1"/>
      <c r="D410" s="1"/>
      <c r="E410" s="1"/>
      <c r="F410" s="1"/>
      <c r="G410" s="1"/>
      <c r="H410" s="1"/>
      <c r="I410" s="1"/>
      <c r="J410" s="1"/>
      <c r="K410" s="1"/>
      <c r="L410" s="1"/>
      <c r="M410" s="1"/>
      <c r="N410" s="1"/>
      <c r="O410" s="1"/>
      <c r="P410" s="1"/>
      <c r="Q410" s="1"/>
      <c r="R410" s="1"/>
      <c r="S410" s="1"/>
      <c r="T410" s="1"/>
      <c r="U410" s="1"/>
    </row>
    <row r="411" spans="1:21" x14ac:dyDescent="0.25">
      <c r="A411" s="1"/>
      <c r="B411" s="1"/>
      <c r="C411" s="1"/>
      <c r="D411" s="1"/>
      <c r="E411" s="1"/>
      <c r="F411" s="1"/>
      <c r="G411" s="1"/>
      <c r="H411" s="1"/>
      <c r="I411" s="1"/>
      <c r="J411" s="1"/>
      <c r="K411" s="1"/>
      <c r="L411" s="1"/>
      <c r="M411" s="1"/>
      <c r="N411" s="1"/>
      <c r="O411" s="1"/>
      <c r="P411" s="1"/>
      <c r="Q411" s="1"/>
      <c r="R411" s="1"/>
      <c r="S411" s="1"/>
      <c r="T411" s="1"/>
      <c r="U411" s="1"/>
    </row>
    <row r="412" spans="1:21" x14ac:dyDescent="0.25">
      <c r="A412" s="1"/>
      <c r="B412" s="1"/>
      <c r="C412" s="1"/>
      <c r="D412" s="1"/>
      <c r="E412" s="1"/>
      <c r="F412" s="1"/>
      <c r="G412" s="1"/>
      <c r="H412" s="1"/>
      <c r="I412" s="1"/>
      <c r="J412" s="1"/>
      <c r="K412" s="1"/>
      <c r="L412" s="1"/>
      <c r="M412" s="1"/>
      <c r="N412" s="1"/>
      <c r="O412" s="1"/>
      <c r="P412" s="1"/>
      <c r="Q412" s="1"/>
      <c r="R412" s="1"/>
      <c r="S412" s="1"/>
      <c r="T412" s="1"/>
      <c r="U412" s="1"/>
    </row>
    <row r="413" spans="1:21" x14ac:dyDescent="0.25">
      <c r="A413" s="1"/>
      <c r="B413" s="1"/>
      <c r="C413" s="1"/>
      <c r="D413" s="1"/>
      <c r="E413" s="1"/>
      <c r="F413" s="1"/>
      <c r="G413" s="1"/>
      <c r="H413" s="1"/>
      <c r="I413" s="1"/>
      <c r="J413" s="1"/>
      <c r="K413" s="1"/>
      <c r="L413" s="1"/>
      <c r="M413" s="1"/>
      <c r="N413" s="1"/>
      <c r="O413" s="1"/>
      <c r="P413" s="1"/>
      <c r="Q413" s="1"/>
      <c r="R413" s="1"/>
      <c r="S413" s="1"/>
      <c r="T413" s="1"/>
      <c r="U413" s="1"/>
    </row>
    <row r="414" spans="1:21" x14ac:dyDescent="0.25">
      <c r="A414" s="1"/>
      <c r="B414" s="1"/>
      <c r="C414" s="1"/>
      <c r="D414" s="1"/>
      <c r="E414" s="1"/>
      <c r="F414" s="1"/>
      <c r="G414" s="1"/>
      <c r="H414" s="1"/>
      <c r="I414" s="1"/>
      <c r="J414" s="1"/>
      <c r="K414" s="1"/>
      <c r="L414" s="1"/>
      <c r="M414" s="1"/>
      <c r="N414" s="1"/>
      <c r="O414" s="1"/>
      <c r="P414" s="1"/>
      <c r="Q414" s="1"/>
      <c r="R414" s="1"/>
      <c r="S414" s="1"/>
      <c r="T414" s="1"/>
      <c r="U414" s="1"/>
    </row>
    <row r="415" spans="1:21" x14ac:dyDescent="0.25">
      <c r="A415" s="1"/>
      <c r="B415" s="1"/>
      <c r="C415" s="1"/>
      <c r="D415" s="1"/>
      <c r="E415" s="1"/>
      <c r="F415" s="1"/>
      <c r="G415" s="1"/>
      <c r="H415" s="1"/>
      <c r="I415" s="1"/>
      <c r="J415" s="1"/>
      <c r="K415" s="1"/>
      <c r="L415" s="1"/>
      <c r="M415" s="1"/>
      <c r="N415" s="1"/>
      <c r="O415" s="1"/>
      <c r="P415" s="1"/>
      <c r="Q415" s="1"/>
      <c r="R415" s="1"/>
      <c r="S415" s="1"/>
      <c r="T415" s="1"/>
      <c r="U415" s="1"/>
    </row>
    <row r="416" spans="1:21" x14ac:dyDescent="0.25">
      <c r="A416" s="1"/>
      <c r="B416" s="1"/>
      <c r="C416" s="1"/>
      <c r="D416" s="1"/>
      <c r="E416" s="1"/>
      <c r="F416" s="1"/>
      <c r="G416" s="1"/>
      <c r="H416" s="1"/>
      <c r="I416" s="1"/>
      <c r="J416" s="1"/>
      <c r="K416" s="1"/>
      <c r="L416" s="1"/>
      <c r="M416" s="1"/>
      <c r="N416" s="1"/>
      <c r="O416" s="1"/>
      <c r="P416" s="1"/>
      <c r="Q416" s="1"/>
      <c r="R416" s="1"/>
      <c r="S416" s="1"/>
      <c r="T416" s="1"/>
      <c r="U416" s="1"/>
    </row>
    <row r="417" spans="1:21" x14ac:dyDescent="0.25">
      <c r="A417" s="1"/>
      <c r="B417" s="1"/>
      <c r="C417" s="1"/>
      <c r="D417" s="1"/>
      <c r="E417" s="1"/>
      <c r="F417" s="1"/>
      <c r="G417" s="1"/>
      <c r="H417" s="1"/>
      <c r="I417" s="1"/>
      <c r="J417" s="1"/>
      <c r="K417" s="1"/>
      <c r="L417" s="1"/>
      <c r="M417" s="1"/>
      <c r="N417" s="1"/>
      <c r="O417" s="1"/>
      <c r="P417" s="1"/>
      <c r="Q417" s="1"/>
      <c r="R417" s="1"/>
      <c r="S417" s="1"/>
      <c r="T417" s="1"/>
      <c r="U417" s="1"/>
    </row>
    <row r="418" spans="1:21" x14ac:dyDescent="0.25">
      <c r="A418" s="1"/>
      <c r="B418" s="1"/>
      <c r="C418" s="1"/>
      <c r="D418" s="1"/>
      <c r="E418" s="1"/>
      <c r="F418" s="1"/>
      <c r="G418" s="1"/>
      <c r="H418" s="1"/>
      <c r="I418" s="1"/>
      <c r="J418" s="1"/>
      <c r="K418" s="1"/>
      <c r="L418" s="1"/>
      <c r="M418" s="1"/>
      <c r="N418" s="1"/>
      <c r="O418" s="1"/>
      <c r="P418" s="1"/>
      <c r="Q418" s="1"/>
      <c r="R418" s="1"/>
      <c r="S418" s="1"/>
      <c r="T418" s="1"/>
      <c r="U418" s="1"/>
    </row>
    <row r="419" spans="1:21" x14ac:dyDescent="0.25">
      <c r="A419" s="1"/>
      <c r="B419" s="1"/>
      <c r="C419" s="1"/>
      <c r="D419" s="1"/>
      <c r="E419" s="1"/>
      <c r="F419" s="1"/>
      <c r="G419" s="1"/>
      <c r="H419" s="1"/>
      <c r="I419" s="1"/>
      <c r="J419" s="1"/>
      <c r="K419" s="1"/>
      <c r="L419" s="1"/>
      <c r="M419" s="1"/>
      <c r="N419" s="1"/>
      <c r="O419" s="1"/>
      <c r="P419" s="1"/>
      <c r="Q419" s="1"/>
      <c r="R419" s="1"/>
      <c r="S419" s="1"/>
      <c r="T419" s="1"/>
      <c r="U419" s="1"/>
    </row>
    <row r="420" spans="1:21" x14ac:dyDescent="0.25">
      <c r="A420" s="1"/>
      <c r="B420" s="1"/>
      <c r="C420" s="1"/>
      <c r="D420" s="1"/>
      <c r="E420" s="1"/>
      <c r="F420" s="1"/>
      <c r="G420" s="1"/>
      <c r="H420" s="1"/>
      <c r="I420" s="1"/>
      <c r="J420" s="1"/>
      <c r="K420" s="1"/>
      <c r="L420" s="1"/>
      <c r="M420" s="1"/>
      <c r="N420" s="1"/>
      <c r="O420" s="1"/>
      <c r="P420" s="1"/>
      <c r="Q420" s="1"/>
      <c r="R420" s="1"/>
      <c r="S420" s="1"/>
      <c r="T420" s="1"/>
      <c r="U420" s="1"/>
    </row>
    <row r="421" spans="1:21" x14ac:dyDescent="0.25">
      <c r="A421" s="1"/>
      <c r="B421" s="1"/>
      <c r="C421" s="1"/>
      <c r="D421" s="1"/>
      <c r="E421" s="1"/>
      <c r="F421" s="1"/>
      <c r="G421" s="1"/>
      <c r="H421" s="1"/>
      <c r="I421" s="1"/>
      <c r="J421" s="1"/>
      <c r="K421" s="1"/>
      <c r="L421" s="1"/>
      <c r="M421" s="1"/>
      <c r="N421" s="1"/>
      <c r="O421" s="1"/>
      <c r="P421" s="1"/>
      <c r="Q421" s="1"/>
      <c r="R421" s="1"/>
      <c r="S421" s="1"/>
      <c r="T421" s="1"/>
      <c r="U421" s="1"/>
    </row>
    <row r="422" spans="1:21" x14ac:dyDescent="0.25">
      <c r="A422" s="1"/>
      <c r="B422" s="1"/>
      <c r="C422" s="1"/>
      <c r="D422" s="1"/>
      <c r="E422" s="1"/>
      <c r="F422" s="1"/>
      <c r="G422" s="1"/>
      <c r="H422" s="1"/>
      <c r="I422" s="1"/>
      <c r="J422" s="1"/>
      <c r="K422" s="1"/>
      <c r="L422" s="1"/>
      <c r="M422" s="1"/>
      <c r="N422" s="1"/>
      <c r="O422" s="1"/>
      <c r="P422" s="1"/>
      <c r="Q422" s="1"/>
      <c r="R422" s="1"/>
      <c r="S422" s="1"/>
      <c r="T422" s="1"/>
      <c r="U422" s="1"/>
    </row>
    <row r="423" spans="1:21" x14ac:dyDescent="0.25">
      <c r="A423" s="1"/>
      <c r="B423" s="1"/>
      <c r="C423" s="1"/>
      <c r="D423" s="1"/>
      <c r="E423" s="1"/>
      <c r="F423" s="1"/>
      <c r="G423" s="1"/>
      <c r="H423" s="1"/>
      <c r="I423" s="1"/>
      <c r="J423" s="1"/>
      <c r="K423" s="1"/>
      <c r="L423" s="1"/>
      <c r="M423" s="1"/>
      <c r="N423" s="1"/>
      <c r="O423" s="1"/>
      <c r="P423" s="1"/>
      <c r="Q423" s="1"/>
      <c r="R423" s="1"/>
      <c r="S423" s="1"/>
      <c r="T423" s="1"/>
      <c r="U423" s="1"/>
    </row>
    <row r="424" spans="1:21" x14ac:dyDescent="0.25">
      <c r="A424" s="1"/>
      <c r="B424" s="1"/>
      <c r="C424" s="1"/>
      <c r="D424" s="1"/>
      <c r="E424" s="1"/>
      <c r="F424" s="1"/>
      <c r="G424" s="1"/>
      <c r="H424" s="1"/>
      <c r="I424" s="1"/>
      <c r="J424" s="1"/>
      <c r="K424" s="1"/>
      <c r="L424" s="1"/>
      <c r="M424" s="1"/>
      <c r="N424" s="1"/>
      <c r="O424" s="1"/>
      <c r="P424" s="1"/>
      <c r="Q424" s="1"/>
      <c r="R424" s="1"/>
      <c r="S424" s="1"/>
      <c r="T424" s="1"/>
      <c r="U424" s="1"/>
    </row>
    <row r="425" spans="1:21" x14ac:dyDescent="0.25">
      <c r="A425" s="1"/>
      <c r="B425" s="1"/>
      <c r="C425" s="1"/>
      <c r="D425" s="1"/>
      <c r="E425" s="1"/>
      <c r="F425" s="1"/>
      <c r="G425" s="1"/>
      <c r="H425" s="1"/>
      <c r="I425" s="1"/>
      <c r="J425" s="1"/>
      <c r="K425" s="1"/>
      <c r="L425" s="1"/>
      <c r="M425" s="1"/>
      <c r="N425" s="1"/>
      <c r="O425" s="1"/>
      <c r="P425" s="1"/>
      <c r="Q425" s="1"/>
      <c r="R425" s="1"/>
      <c r="S425" s="1"/>
      <c r="T425" s="1"/>
      <c r="U425" s="1"/>
    </row>
    <row r="426" spans="1:21" x14ac:dyDescent="0.25">
      <c r="A426" s="1"/>
      <c r="B426" s="1"/>
      <c r="C426" s="1"/>
      <c r="D426" s="1"/>
      <c r="E426" s="1"/>
      <c r="F426" s="1"/>
      <c r="G426" s="1"/>
      <c r="H426" s="1"/>
      <c r="I426" s="1"/>
      <c r="J426" s="1"/>
      <c r="K426" s="1"/>
      <c r="L426" s="1"/>
      <c r="M426" s="1"/>
      <c r="N426" s="1"/>
      <c r="O426" s="1"/>
      <c r="P426" s="1"/>
      <c r="Q426" s="1"/>
      <c r="R426" s="1"/>
      <c r="S426" s="1"/>
      <c r="T426" s="1"/>
      <c r="U426" s="1"/>
    </row>
    <row r="427" spans="1:21" x14ac:dyDescent="0.25">
      <c r="A427" s="1"/>
      <c r="B427" s="1"/>
      <c r="C427" s="1"/>
      <c r="D427" s="1"/>
      <c r="E427" s="1"/>
      <c r="F427" s="1"/>
      <c r="G427" s="1"/>
      <c r="H427" s="1"/>
      <c r="I427" s="1"/>
      <c r="J427" s="1"/>
      <c r="K427" s="1"/>
      <c r="L427" s="1"/>
      <c r="M427" s="1"/>
      <c r="N427" s="1"/>
      <c r="O427" s="1"/>
      <c r="P427" s="1"/>
      <c r="Q427" s="1"/>
      <c r="R427" s="1"/>
      <c r="S427" s="1"/>
      <c r="T427" s="1"/>
      <c r="U427" s="1"/>
    </row>
    <row r="428" spans="1:21" x14ac:dyDescent="0.25">
      <c r="A428" s="1"/>
      <c r="B428" s="1"/>
      <c r="C428" s="1"/>
      <c r="D428" s="1"/>
      <c r="E428" s="1"/>
      <c r="F428" s="1"/>
      <c r="G428" s="1"/>
      <c r="H428" s="1"/>
      <c r="I428" s="1"/>
      <c r="J428" s="1"/>
      <c r="K428" s="1"/>
      <c r="L428" s="1"/>
      <c r="M428" s="1"/>
      <c r="N428" s="1"/>
      <c r="O428" s="1"/>
      <c r="P428" s="1"/>
      <c r="Q428" s="1"/>
      <c r="R428" s="1"/>
      <c r="S428" s="1"/>
      <c r="T428" s="1"/>
      <c r="U428" s="1"/>
    </row>
    <row r="429" spans="1:21" x14ac:dyDescent="0.25">
      <c r="A429" s="1"/>
      <c r="B429" s="1"/>
      <c r="C429" s="1"/>
      <c r="D429" s="1"/>
      <c r="E429" s="1"/>
      <c r="F429" s="1"/>
      <c r="G429" s="1"/>
      <c r="H429" s="1"/>
      <c r="I429" s="1"/>
      <c r="J429" s="1"/>
      <c r="K429" s="1"/>
      <c r="L429" s="1"/>
      <c r="M429" s="1"/>
      <c r="N429" s="1"/>
      <c r="O429" s="1"/>
      <c r="P429" s="1"/>
      <c r="Q429" s="1"/>
      <c r="R429" s="1"/>
      <c r="S429" s="1"/>
      <c r="T429" s="1"/>
      <c r="U429" s="1"/>
    </row>
    <row r="430" spans="1:21" x14ac:dyDescent="0.25">
      <c r="A430" s="1"/>
      <c r="B430" s="1"/>
      <c r="C430" s="1"/>
      <c r="D430" s="1"/>
      <c r="E430" s="1"/>
      <c r="F430" s="1"/>
      <c r="G430" s="1"/>
      <c r="H430" s="1"/>
      <c r="I430" s="1"/>
      <c r="J430" s="1"/>
      <c r="K430" s="1"/>
      <c r="L430" s="1"/>
      <c r="M430" s="1"/>
      <c r="N430" s="1"/>
      <c r="O430" s="1"/>
      <c r="P430" s="1"/>
      <c r="Q430" s="1"/>
      <c r="R430" s="1"/>
      <c r="S430" s="1"/>
      <c r="T430" s="1"/>
      <c r="U430" s="1"/>
    </row>
    <row r="431" spans="1:21" x14ac:dyDescent="0.25">
      <c r="A431" s="1"/>
      <c r="B431" s="1"/>
      <c r="C431" s="1"/>
      <c r="D431" s="1"/>
      <c r="E431" s="1"/>
      <c r="F431" s="1"/>
      <c r="G431" s="1"/>
      <c r="H431" s="1"/>
      <c r="I431" s="1"/>
      <c r="J431" s="1"/>
      <c r="K431" s="1"/>
      <c r="L431" s="1"/>
      <c r="M431" s="1"/>
      <c r="N431" s="1"/>
      <c r="O431" s="1"/>
      <c r="P431" s="1"/>
      <c r="Q431" s="1"/>
      <c r="R431" s="1"/>
      <c r="S431" s="1"/>
      <c r="T431" s="1"/>
      <c r="U431" s="1"/>
    </row>
    <row r="432" spans="1:21" x14ac:dyDescent="0.25">
      <c r="A432" s="1"/>
      <c r="B432" s="1"/>
      <c r="C432" s="1"/>
      <c r="D432" s="1"/>
      <c r="E432" s="1"/>
      <c r="F432" s="1"/>
      <c r="G432" s="1"/>
      <c r="H432" s="1"/>
      <c r="I432" s="1"/>
      <c r="J432" s="1"/>
      <c r="K432" s="1"/>
      <c r="L432" s="1"/>
      <c r="M432" s="1"/>
      <c r="N432" s="1"/>
      <c r="O432" s="1"/>
      <c r="P432" s="1"/>
      <c r="Q432" s="1"/>
      <c r="R432" s="1"/>
      <c r="S432" s="1"/>
      <c r="T432" s="1"/>
      <c r="U432" s="1"/>
    </row>
    <row r="433" spans="1:21" x14ac:dyDescent="0.25">
      <c r="A433" s="1"/>
      <c r="B433" s="1"/>
      <c r="C433" s="1"/>
      <c r="D433" s="1"/>
      <c r="E433" s="1"/>
      <c r="F433" s="1"/>
      <c r="G433" s="1"/>
      <c r="H433" s="1"/>
      <c r="I433" s="1"/>
      <c r="J433" s="1"/>
      <c r="K433" s="1"/>
      <c r="L433" s="1"/>
      <c r="M433" s="1"/>
      <c r="N433" s="1"/>
      <c r="O433" s="1"/>
      <c r="P433" s="1"/>
      <c r="Q433" s="1"/>
      <c r="R433" s="1"/>
      <c r="S433" s="1"/>
      <c r="T433" s="1"/>
      <c r="U433" s="1"/>
    </row>
    <row r="434" spans="1:21" x14ac:dyDescent="0.25">
      <c r="A434" s="1"/>
      <c r="B434" s="1"/>
      <c r="C434" s="1"/>
      <c r="D434" s="1"/>
      <c r="E434" s="1"/>
      <c r="F434" s="1"/>
      <c r="G434" s="1"/>
      <c r="H434" s="1"/>
      <c r="I434" s="1"/>
      <c r="J434" s="1"/>
      <c r="K434" s="1"/>
      <c r="L434" s="1"/>
      <c r="M434" s="1"/>
      <c r="N434" s="1"/>
      <c r="O434" s="1"/>
      <c r="P434" s="1"/>
      <c r="Q434" s="1"/>
      <c r="R434" s="1"/>
      <c r="S434" s="1"/>
      <c r="T434" s="1"/>
      <c r="U434" s="1"/>
    </row>
    <row r="435" spans="1:21" x14ac:dyDescent="0.25">
      <c r="A435" s="1"/>
      <c r="B435" s="1"/>
      <c r="C435" s="1"/>
      <c r="D435" s="1"/>
      <c r="E435" s="1"/>
      <c r="F435" s="1"/>
      <c r="G435" s="1"/>
      <c r="H435" s="1"/>
      <c r="I435" s="1"/>
      <c r="J435" s="1"/>
      <c r="K435" s="1"/>
      <c r="L435" s="1"/>
      <c r="M435" s="1"/>
      <c r="N435" s="1"/>
      <c r="O435" s="1"/>
      <c r="P435" s="1"/>
      <c r="Q435" s="1"/>
      <c r="R435" s="1"/>
      <c r="S435" s="1"/>
      <c r="T435" s="1"/>
      <c r="U435" s="1"/>
    </row>
    <row r="436" spans="1:21" x14ac:dyDescent="0.25">
      <c r="A436" s="1"/>
      <c r="B436" s="1"/>
      <c r="C436" s="1"/>
      <c r="D436" s="1"/>
      <c r="E436" s="1"/>
      <c r="F436" s="1"/>
      <c r="G436" s="1"/>
      <c r="H436" s="1"/>
      <c r="I436" s="1"/>
      <c r="J436" s="1"/>
      <c r="K436" s="1"/>
      <c r="L436" s="1"/>
      <c r="M436" s="1"/>
      <c r="N436" s="1"/>
      <c r="O436" s="1"/>
      <c r="P436" s="1"/>
      <c r="Q436" s="1"/>
      <c r="R436" s="1"/>
      <c r="S436" s="1"/>
      <c r="T436" s="1"/>
      <c r="U436" s="1"/>
    </row>
    <row r="437" spans="1:21" x14ac:dyDescent="0.25">
      <c r="A437" s="1"/>
      <c r="B437" s="1"/>
      <c r="C437" s="1"/>
      <c r="D437" s="1"/>
      <c r="E437" s="1"/>
      <c r="F437" s="1"/>
      <c r="G437" s="1"/>
      <c r="H437" s="1"/>
      <c r="I437" s="1"/>
      <c r="J437" s="1"/>
      <c r="K437" s="1"/>
      <c r="L437" s="1"/>
      <c r="M437" s="1"/>
      <c r="N437" s="1"/>
      <c r="O437" s="1"/>
      <c r="P437" s="1"/>
      <c r="Q437" s="1"/>
      <c r="R437" s="1"/>
      <c r="S437" s="1"/>
      <c r="T437" s="1"/>
      <c r="U437" s="1"/>
    </row>
    <row r="438" spans="1:21" x14ac:dyDescent="0.25">
      <c r="A438" s="1"/>
      <c r="B438" s="1"/>
      <c r="C438" s="1"/>
      <c r="D438" s="1"/>
      <c r="E438" s="1"/>
      <c r="F438" s="1"/>
      <c r="G438" s="1"/>
      <c r="H438" s="1"/>
      <c r="I438" s="1"/>
      <c r="J438" s="1"/>
      <c r="K438" s="1"/>
      <c r="L438" s="1"/>
      <c r="M438" s="1"/>
      <c r="N438" s="1"/>
      <c r="O438" s="1"/>
      <c r="P438" s="1"/>
      <c r="Q438" s="1"/>
      <c r="R438" s="1"/>
      <c r="S438" s="1"/>
      <c r="T438" s="1"/>
      <c r="U438" s="1"/>
    </row>
    <row r="439" spans="1:21" x14ac:dyDescent="0.25">
      <c r="A439" s="1"/>
      <c r="B439" s="1"/>
      <c r="C439" s="1"/>
      <c r="D439" s="1"/>
      <c r="E439" s="1"/>
      <c r="F439" s="1"/>
      <c r="G439" s="1"/>
      <c r="H439" s="1"/>
      <c r="I439" s="1"/>
      <c r="J439" s="1"/>
      <c r="K439" s="1"/>
      <c r="L439" s="1"/>
      <c r="M439" s="1"/>
      <c r="N439" s="1"/>
      <c r="O439" s="1"/>
      <c r="P439" s="1"/>
      <c r="Q439" s="1"/>
      <c r="R439" s="1"/>
      <c r="S439" s="1"/>
      <c r="T439" s="1"/>
      <c r="U439" s="1"/>
    </row>
    <row r="440" spans="1:21" x14ac:dyDescent="0.25">
      <c r="A440" s="1"/>
      <c r="B440" s="1"/>
      <c r="C440" s="1"/>
      <c r="D440" s="1"/>
      <c r="E440" s="1"/>
      <c r="F440" s="1"/>
      <c r="G440" s="1"/>
      <c r="H440" s="1"/>
      <c r="I440" s="1"/>
      <c r="J440" s="1"/>
      <c r="K440" s="1"/>
      <c r="L440" s="1"/>
      <c r="M440" s="1"/>
      <c r="N440" s="1"/>
      <c r="O440" s="1"/>
      <c r="P440" s="1"/>
      <c r="Q440" s="1"/>
      <c r="R440" s="1"/>
      <c r="S440" s="1"/>
      <c r="T440" s="1"/>
      <c r="U440" s="1"/>
    </row>
    <row r="441" spans="1:21" x14ac:dyDescent="0.25">
      <c r="A441" s="1"/>
      <c r="B441" s="1"/>
      <c r="C441" s="1"/>
      <c r="D441" s="1"/>
      <c r="E441" s="1"/>
      <c r="F441" s="1"/>
      <c r="G441" s="1"/>
      <c r="H441" s="1"/>
      <c r="I441" s="1"/>
      <c r="J441" s="1"/>
      <c r="K441" s="1"/>
      <c r="L441" s="1"/>
      <c r="M441" s="1"/>
      <c r="N441" s="1"/>
      <c r="O441" s="1"/>
      <c r="P441" s="1"/>
      <c r="Q441" s="1"/>
      <c r="R441" s="1"/>
      <c r="S441" s="1"/>
      <c r="T441" s="1"/>
      <c r="U441" s="1"/>
    </row>
    <row r="442" spans="1:21" x14ac:dyDescent="0.25">
      <c r="A442" s="1"/>
      <c r="B442" s="1"/>
      <c r="C442" s="1"/>
      <c r="D442" s="1"/>
      <c r="E442" s="1"/>
      <c r="F442" s="1"/>
      <c r="G442" s="1"/>
      <c r="H442" s="1"/>
      <c r="I442" s="1"/>
      <c r="J442" s="1"/>
      <c r="K442" s="1"/>
      <c r="L442" s="1"/>
      <c r="M442" s="1"/>
      <c r="N442" s="1"/>
      <c r="O442" s="1"/>
      <c r="P442" s="1"/>
      <c r="Q442" s="1"/>
      <c r="R442" s="1"/>
      <c r="S442" s="1"/>
      <c r="T442" s="1"/>
      <c r="U442" s="1"/>
    </row>
    <row r="443" spans="1:21" x14ac:dyDescent="0.25">
      <c r="A443" s="1"/>
      <c r="B443" s="1"/>
      <c r="C443" s="1"/>
      <c r="D443" s="1"/>
      <c r="E443" s="1"/>
      <c r="F443" s="1"/>
      <c r="G443" s="1"/>
      <c r="H443" s="1"/>
      <c r="I443" s="1"/>
      <c r="J443" s="1"/>
      <c r="K443" s="1"/>
      <c r="L443" s="1"/>
      <c r="M443" s="1"/>
      <c r="N443" s="1"/>
      <c r="O443" s="1"/>
      <c r="P443" s="1"/>
      <c r="Q443" s="1"/>
      <c r="R443" s="1"/>
      <c r="S443" s="1"/>
      <c r="T443" s="1"/>
      <c r="U443" s="1"/>
    </row>
    <row r="444" spans="1:21" x14ac:dyDescent="0.25">
      <c r="A444" s="1"/>
      <c r="B444" s="1"/>
      <c r="C444" s="1"/>
      <c r="D444" s="1"/>
      <c r="E444" s="1"/>
      <c r="F444" s="1"/>
      <c r="G444" s="1"/>
      <c r="H444" s="1"/>
      <c r="I444" s="1"/>
      <c r="J444" s="1"/>
      <c r="K444" s="1"/>
      <c r="L444" s="1"/>
      <c r="M444" s="1"/>
      <c r="N444" s="1"/>
      <c r="O444" s="1"/>
      <c r="P444" s="1"/>
      <c r="Q444" s="1"/>
      <c r="R444" s="1"/>
      <c r="S444" s="1"/>
      <c r="T444" s="1"/>
      <c r="U444" s="1"/>
    </row>
    <row r="445" spans="1:21" x14ac:dyDescent="0.25">
      <c r="A445" s="1"/>
      <c r="B445" s="1"/>
      <c r="C445" s="1"/>
      <c r="D445" s="1"/>
      <c r="E445" s="1"/>
      <c r="F445" s="1"/>
      <c r="G445" s="1"/>
      <c r="H445" s="1"/>
      <c r="I445" s="1"/>
      <c r="J445" s="1"/>
      <c r="K445" s="1"/>
      <c r="L445" s="1"/>
      <c r="M445" s="1"/>
      <c r="N445" s="1"/>
      <c r="O445" s="1"/>
      <c r="P445" s="1"/>
      <c r="Q445" s="1"/>
      <c r="R445" s="1"/>
      <c r="S445" s="1"/>
      <c r="T445" s="1"/>
      <c r="U445" s="1"/>
    </row>
    <row r="446" spans="1:21" x14ac:dyDescent="0.25">
      <c r="A446" s="1"/>
      <c r="B446" s="1"/>
      <c r="C446" s="1"/>
      <c r="D446" s="1"/>
      <c r="E446" s="1"/>
      <c r="F446" s="1"/>
      <c r="G446" s="1"/>
      <c r="H446" s="1"/>
      <c r="I446" s="1"/>
      <c r="J446" s="1"/>
      <c r="K446" s="1"/>
      <c r="L446" s="1"/>
      <c r="M446" s="1"/>
      <c r="N446" s="1"/>
      <c r="O446" s="1"/>
      <c r="P446" s="1"/>
      <c r="Q446" s="1"/>
      <c r="R446" s="1"/>
      <c r="S446" s="1"/>
      <c r="T446" s="1"/>
      <c r="U446" s="1"/>
    </row>
    <row r="447" spans="1:21" x14ac:dyDescent="0.25">
      <c r="A447" s="1"/>
      <c r="B447" s="1"/>
      <c r="C447" s="1"/>
      <c r="D447" s="1"/>
      <c r="E447" s="1"/>
      <c r="F447" s="1"/>
      <c r="G447" s="1"/>
      <c r="H447" s="1"/>
      <c r="I447" s="1"/>
      <c r="J447" s="1"/>
      <c r="K447" s="1"/>
      <c r="L447" s="1"/>
      <c r="M447" s="1"/>
      <c r="N447" s="1"/>
      <c r="O447" s="1"/>
      <c r="P447" s="1"/>
      <c r="Q447" s="1"/>
      <c r="R447" s="1"/>
      <c r="S447" s="1"/>
      <c r="T447" s="1"/>
      <c r="U447" s="1"/>
    </row>
    <row r="448" spans="1:21" x14ac:dyDescent="0.25">
      <c r="A448" s="1"/>
      <c r="B448" s="1"/>
      <c r="C448" s="1"/>
      <c r="D448" s="1"/>
      <c r="E448" s="1"/>
      <c r="F448" s="1"/>
      <c r="G448" s="1"/>
      <c r="H448" s="1"/>
      <c r="I448" s="1"/>
      <c r="J448" s="1"/>
      <c r="K448" s="1"/>
      <c r="L448" s="1"/>
      <c r="M448" s="1"/>
      <c r="N448" s="1"/>
      <c r="O448" s="1"/>
      <c r="P448" s="1"/>
      <c r="Q448" s="1"/>
      <c r="R448" s="1"/>
      <c r="S448" s="1"/>
      <c r="T448" s="1"/>
      <c r="U448" s="1"/>
    </row>
    <row r="449" spans="1:21" x14ac:dyDescent="0.25">
      <c r="A449" s="1"/>
      <c r="B449" s="1"/>
      <c r="C449" s="1"/>
      <c r="D449" s="1"/>
      <c r="E449" s="1"/>
      <c r="F449" s="1"/>
      <c r="G449" s="1"/>
      <c r="H449" s="1"/>
      <c r="I449" s="1"/>
      <c r="J449" s="1"/>
      <c r="K449" s="1"/>
      <c r="L449" s="1"/>
      <c r="M449" s="1"/>
      <c r="N449" s="1"/>
      <c r="O449" s="1"/>
      <c r="P449" s="1"/>
      <c r="Q449" s="1"/>
      <c r="R449" s="1"/>
      <c r="S449" s="1"/>
      <c r="T449" s="1"/>
      <c r="U449" s="1"/>
    </row>
    <row r="450" spans="1:21" x14ac:dyDescent="0.25">
      <c r="A450" s="1"/>
      <c r="B450" s="1"/>
      <c r="C450" s="1"/>
      <c r="D450" s="1"/>
      <c r="E450" s="1"/>
      <c r="F450" s="1"/>
      <c r="G450" s="1"/>
      <c r="H450" s="1"/>
      <c r="I450" s="1"/>
      <c r="J450" s="1"/>
      <c r="K450" s="1"/>
      <c r="L450" s="1"/>
      <c r="M450" s="1"/>
      <c r="N450" s="1"/>
      <c r="O450" s="1"/>
      <c r="P450" s="1"/>
      <c r="Q450" s="1"/>
      <c r="R450" s="1"/>
      <c r="S450" s="1"/>
      <c r="T450" s="1"/>
      <c r="U450" s="1"/>
    </row>
    <row r="451" spans="1:21" x14ac:dyDescent="0.25">
      <c r="A451" s="1"/>
      <c r="B451" s="1"/>
      <c r="C451" s="1"/>
      <c r="D451" s="1"/>
      <c r="E451" s="1"/>
      <c r="F451" s="1"/>
      <c r="G451" s="1"/>
      <c r="H451" s="1"/>
      <c r="I451" s="1"/>
      <c r="J451" s="1"/>
      <c r="K451" s="1"/>
      <c r="L451" s="1"/>
      <c r="M451" s="1"/>
      <c r="N451" s="1"/>
      <c r="O451" s="1"/>
      <c r="P451" s="1"/>
      <c r="Q451" s="1"/>
      <c r="R451" s="1"/>
      <c r="S451" s="1"/>
      <c r="T451" s="1"/>
      <c r="U451" s="1"/>
    </row>
    <row r="452" spans="1:21" x14ac:dyDescent="0.25">
      <c r="A452" s="1"/>
      <c r="B452" s="1"/>
      <c r="C452" s="1"/>
      <c r="D452" s="1"/>
      <c r="E452" s="1"/>
      <c r="F452" s="1"/>
      <c r="G452" s="1"/>
      <c r="H452" s="1"/>
      <c r="I452" s="1"/>
      <c r="J452" s="1"/>
      <c r="K452" s="1"/>
      <c r="L452" s="1"/>
      <c r="M452" s="1"/>
      <c r="N452" s="1"/>
      <c r="O452" s="1"/>
      <c r="P452" s="1"/>
      <c r="Q452" s="1"/>
      <c r="R452" s="1"/>
      <c r="S452" s="1"/>
      <c r="T452" s="1"/>
      <c r="U452" s="1"/>
    </row>
    <row r="453" spans="1:21" x14ac:dyDescent="0.25">
      <c r="A453" s="1"/>
      <c r="B453" s="1"/>
      <c r="C453" s="1"/>
      <c r="D453" s="1"/>
      <c r="E453" s="1"/>
      <c r="F453" s="1"/>
      <c r="G453" s="1"/>
      <c r="H453" s="1"/>
      <c r="I453" s="1"/>
      <c r="J453" s="1"/>
      <c r="K453" s="1"/>
      <c r="L453" s="1"/>
      <c r="M453" s="1"/>
      <c r="N453" s="1"/>
      <c r="O453" s="1"/>
      <c r="P453" s="1"/>
      <c r="Q453" s="1"/>
      <c r="R453" s="1"/>
      <c r="S453" s="1"/>
      <c r="T453" s="1"/>
      <c r="U453" s="1"/>
    </row>
    <row r="454" spans="1:21" x14ac:dyDescent="0.25">
      <c r="A454" s="1"/>
      <c r="B454" s="1"/>
      <c r="C454" s="1"/>
      <c r="D454" s="1"/>
      <c r="E454" s="1"/>
      <c r="F454" s="1"/>
      <c r="G454" s="1"/>
      <c r="H454" s="1"/>
      <c r="I454" s="1"/>
      <c r="J454" s="1"/>
      <c r="K454" s="1"/>
      <c r="L454" s="1"/>
      <c r="M454" s="1"/>
      <c r="N454" s="1"/>
      <c r="O454" s="1"/>
      <c r="P454" s="1"/>
      <c r="Q454" s="1"/>
      <c r="R454" s="1"/>
      <c r="S454" s="1"/>
      <c r="T454" s="1"/>
      <c r="U454" s="1"/>
    </row>
    <row r="455" spans="1:21" x14ac:dyDescent="0.25">
      <c r="A455" s="1"/>
      <c r="B455" s="1"/>
      <c r="C455" s="1"/>
      <c r="D455" s="1"/>
      <c r="E455" s="1"/>
      <c r="F455" s="1"/>
      <c r="G455" s="1"/>
      <c r="H455" s="1"/>
      <c r="I455" s="1"/>
      <c r="J455" s="1"/>
      <c r="K455" s="1"/>
      <c r="L455" s="1"/>
      <c r="M455" s="1"/>
      <c r="N455" s="1"/>
      <c r="O455" s="1"/>
      <c r="P455" s="1"/>
      <c r="Q455" s="1"/>
      <c r="R455" s="1"/>
      <c r="S455" s="1"/>
      <c r="T455" s="1"/>
      <c r="U455" s="1"/>
    </row>
    <row r="456" spans="1:21" x14ac:dyDescent="0.25">
      <c r="A456" s="1"/>
      <c r="B456" s="1"/>
      <c r="C456" s="1"/>
      <c r="D456" s="1"/>
      <c r="E456" s="1"/>
      <c r="F456" s="1"/>
      <c r="G456" s="1"/>
      <c r="H456" s="1"/>
      <c r="I456" s="1"/>
      <c r="J456" s="1"/>
      <c r="K456" s="1"/>
      <c r="L456" s="1"/>
      <c r="M456" s="1"/>
      <c r="N456" s="1"/>
      <c r="O456" s="1"/>
      <c r="P456" s="1"/>
      <c r="Q456" s="1"/>
      <c r="R456" s="1"/>
      <c r="S456" s="1"/>
      <c r="T456" s="1"/>
      <c r="U456" s="1"/>
    </row>
    <row r="457" spans="1:21" x14ac:dyDescent="0.25">
      <c r="A457" s="1"/>
      <c r="B457" s="1"/>
      <c r="C457" s="1"/>
      <c r="D457" s="1"/>
      <c r="E457" s="1"/>
      <c r="F457" s="1"/>
      <c r="G457" s="1"/>
      <c r="H457" s="1"/>
      <c r="I457" s="1"/>
      <c r="J457" s="1"/>
      <c r="K457" s="1"/>
      <c r="L457" s="1"/>
      <c r="M457" s="1"/>
      <c r="N457" s="1"/>
      <c r="O457" s="1"/>
      <c r="P457" s="1"/>
      <c r="Q457" s="1"/>
      <c r="R457" s="1"/>
      <c r="S457" s="1"/>
      <c r="T457" s="1"/>
      <c r="U457" s="1"/>
    </row>
    <row r="458" spans="1:21" x14ac:dyDescent="0.25">
      <c r="A458" s="1"/>
      <c r="B458" s="1"/>
      <c r="C458" s="1"/>
      <c r="D458" s="1"/>
      <c r="E458" s="1"/>
      <c r="F458" s="1"/>
      <c r="G458" s="1"/>
      <c r="H458" s="1"/>
      <c r="I458" s="1"/>
      <c r="J458" s="1"/>
      <c r="K458" s="1"/>
      <c r="L458" s="1"/>
      <c r="M458" s="1"/>
      <c r="N458" s="1"/>
      <c r="O458" s="1"/>
      <c r="P458" s="1"/>
      <c r="Q458" s="1"/>
      <c r="R458" s="1"/>
      <c r="S458" s="1"/>
      <c r="T458" s="1"/>
      <c r="U458" s="1"/>
    </row>
    <row r="459" spans="1:21" x14ac:dyDescent="0.25">
      <c r="A459" s="1"/>
      <c r="B459" s="1"/>
      <c r="C459" s="1"/>
      <c r="D459" s="1"/>
      <c r="E459" s="1"/>
      <c r="F459" s="1"/>
      <c r="G459" s="1"/>
      <c r="H459" s="1"/>
      <c r="I459" s="1"/>
      <c r="J459" s="1"/>
      <c r="K459" s="1"/>
      <c r="L459" s="1"/>
      <c r="M459" s="1"/>
      <c r="N459" s="1"/>
      <c r="O459" s="1"/>
      <c r="P459" s="1"/>
      <c r="Q459" s="1"/>
      <c r="R459" s="1"/>
      <c r="S459" s="1"/>
      <c r="T459" s="1"/>
      <c r="U459" s="1"/>
    </row>
    <row r="460" spans="1:21" x14ac:dyDescent="0.25">
      <c r="A460" s="1"/>
      <c r="B460" s="1"/>
      <c r="C460" s="1"/>
      <c r="D460" s="1"/>
      <c r="E460" s="1"/>
      <c r="F460" s="1"/>
      <c r="G460" s="1"/>
      <c r="H460" s="1"/>
      <c r="I460" s="1"/>
      <c r="J460" s="1"/>
      <c r="K460" s="1"/>
      <c r="L460" s="1"/>
      <c r="M460" s="1"/>
      <c r="N460" s="1"/>
      <c r="O460" s="1"/>
      <c r="P460" s="1"/>
      <c r="Q460" s="1"/>
      <c r="R460" s="1"/>
      <c r="S460" s="1"/>
      <c r="T460" s="1"/>
      <c r="U460" s="1"/>
    </row>
    <row r="461" spans="1:21" x14ac:dyDescent="0.25">
      <c r="A461" s="1"/>
      <c r="B461" s="1"/>
      <c r="C461" s="1"/>
      <c r="D461" s="1"/>
      <c r="E461" s="1"/>
      <c r="F461" s="1"/>
      <c r="G461" s="1"/>
      <c r="H461" s="1"/>
      <c r="I461" s="1"/>
      <c r="J461" s="1"/>
      <c r="K461" s="1"/>
      <c r="L461" s="1"/>
      <c r="M461" s="1"/>
      <c r="N461" s="1"/>
      <c r="O461" s="1"/>
      <c r="P461" s="1"/>
      <c r="Q461" s="1"/>
      <c r="R461" s="1"/>
      <c r="S461" s="1"/>
      <c r="T461" s="1"/>
      <c r="U461" s="1"/>
    </row>
    <row r="462" spans="1:21" x14ac:dyDescent="0.25">
      <c r="A462" s="1"/>
      <c r="B462" s="1"/>
      <c r="C462" s="1"/>
      <c r="D462" s="1"/>
      <c r="E462" s="1"/>
      <c r="F462" s="1"/>
      <c r="G462" s="1"/>
      <c r="H462" s="1"/>
      <c r="I462" s="1"/>
      <c r="J462" s="1"/>
      <c r="K462" s="1"/>
      <c r="L462" s="1"/>
      <c r="M462" s="1"/>
      <c r="N462" s="1"/>
      <c r="O462" s="1"/>
      <c r="P462" s="1"/>
      <c r="Q462" s="1"/>
      <c r="R462" s="1"/>
      <c r="S462" s="1"/>
      <c r="T462" s="1"/>
      <c r="U462" s="1"/>
    </row>
    <row r="463" spans="1:21" x14ac:dyDescent="0.25">
      <c r="A463" s="1"/>
      <c r="B463" s="1"/>
      <c r="C463" s="1"/>
      <c r="D463" s="1"/>
      <c r="E463" s="1"/>
      <c r="F463" s="1"/>
      <c r="G463" s="1"/>
      <c r="H463" s="1"/>
      <c r="I463" s="1"/>
      <c r="J463" s="1"/>
      <c r="K463" s="1"/>
      <c r="L463" s="1"/>
      <c r="M463" s="1"/>
      <c r="N463" s="1"/>
      <c r="O463" s="1"/>
      <c r="P463" s="1"/>
      <c r="Q463" s="1"/>
      <c r="R463" s="1"/>
      <c r="S463" s="1"/>
      <c r="T463" s="1"/>
      <c r="U463" s="1"/>
    </row>
    <row r="464" spans="1:21" x14ac:dyDescent="0.25">
      <c r="A464" s="1"/>
      <c r="B464" s="1"/>
      <c r="C464" s="1"/>
      <c r="D464" s="1"/>
      <c r="E464" s="1"/>
      <c r="F464" s="1"/>
      <c r="G464" s="1"/>
      <c r="H464" s="1"/>
      <c r="I464" s="1"/>
      <c r="J464" s="1"/>
      <c r="K464" s="1"/>
      <c r="L464" s="1"/>
      <c r="M464" s="1"/>
      <c r="N464" s="1"/>
      <c r="O464" s="1"/>
      <c r="P464" s="1"/>
      <c r="Q464" s="1"/>
      <c r="R464" s="1"/>
      <c r="S464" s="1"/>
      <c r="T464" s="1"/>
      <c r="U464" s="1"/>
    </row>
    <row r="465" spans="1:21" x14ac:dyDescent="0.25">
      <c r="A465" s="1"/>
      <c r="B465" s="1"/>
      <c r="C465" s="1"/>
      <c r="D465" s="1"/>
      <c r="E465" s="1"/>
      <c r="F465" s="1"/>
      <c r="G465" s="1"/>
      <c r="H465" s="1"/>
      <c r="I465" s="1"/>
      <c r="J465" s="1"/>
      <c r="K465" s="1"/>
      <c r="L465" s="1"/>
      <c r="M465" s="1"/>
      <c r="N465" s="1"/>
      <c r="O465" s="1"/>
      <c r="P465" s="1"/>
      <c r="Q465" s="1"/>
      <c r="R465" s="1"/>
      <c r="S465" s="1"/>
      <c r="T465" s="1"/>
      <c r="U465" s="1"/>
    </row>
    <row r="466" spans="1:21" x14ac:dyDescent="0.25">
      <c r="A466" s="1"/>
      <c r="B466" s="1"/>
      <c r="C466" s="1"/>
      <c r="D466" s="1"/>
      <c r="E466" s="1"/>
      <c r="F466" s="1"/>
      <c r="G466" s="1"/>
      <c r="H466" s="1"/>
      <c r="I466" s="1"/>
      <c r="J466" s="1"/>
      <c r="K466" s="1"/>
      <c r="L466" s="1"/>
      <c r="M466" s="1"/>
      <c r="N466" s="1"/>
      <c r="O466" s="1"/>
      <c r="P466" s="1"/>
      <c r="Q466" s="1"/>
      <c r="R466" s="1"/>
      <c r="S466" s="1"/>
      <c r="T466" s="1"/>
      <c r="U466" s="1"/>
    </row>
    <row r="467" spans="1:21" x14ac:dyDescent="0.25">
      <c r="A467" s="1"/>
      <c r="B467" s="1"/>
      <c r="C467" s="1"/>
      <c r="D467" s="1"/>
      <c r="E467" s="1"/>
      <c r="F467" s="1"/>
      <c r="G467" s="1"/>
      <c r="H467" s="1"/>
      <c r="I467" s="1"/>
      <c r="J467" s="1"/>
      <c r="K467" s="1"/>
      <c r="L467" s="1"/>
      <c r="M467" s="1"/>
      <c r="N467" s="1"/>
      <c r="O467" s="1"/>
      <c r="P467" s="1"/>
      <c r="Q467" s="1"/>
      <c r="R467" s="1"/>
      <c r="S467" s="1"/>
      <c r="T467" s="1"/>
      <c r="U467" s="1"/>
    </row>
    <row r="468" spans="1:21" x14ac:dyDescent="0.25">
      <c r="A468" s="1"/>
      <c r="B468" s="1"/>
      <c r="C468" s="1"/>
      <c r="D468" s="1"/>
      <c r="E468" s="1"/>
      <c r="F468" s="1"/>
      <c r="G468" s="1"/>
      <c r="H468" s="1"/>
      <c r="I468" s="1"/>
      <c r="J468" s="1"/>
      <c r="K468" s="1"/>
      <c r="L468" s="1"/>
      <c r="M468" s="1"/>
      <c r="N468" s="1"/>
      <c r="O468" s="1"/>
      <c r="P468" s="1"/>
      <c r="Q468" s="1"/>
      <c r="R468" s="1"/>
      <c r="S468" s="1"/>
      <c r="T468" s="1"/>
      <c r="U468" s="1"/>
    </row>
    <row r="469" spans="1:21" x14ac:dyDescent="0.25">
      <c r="A469" s="1"/>
      <c r="B469" s="1"/>
      <c r="C469" s="1"/>
      <c r="D469" s="1"/>
      <c r="E469" s="1"/>
      <c r="F469" s="1"/>
      <c r="G469" s="1"/>
      <c r="H469" s="1"/>
      <c r="I469" s="1"/>
      <c r="J469" s="1"/>
      <c r="K469" s="1"/>
      <c r="L469" s="1"/>
      <c r="M469" s="1"/>
      <c r="N469" s="1"/>
      <c r="O469" s="1"/>
      <c r="P469" s="1"/>
      <c r="Q469" s="1"/>
      <c r="R469" s="1"/>
      <c r="S469" s="1"/>
      <c r="T469" s="1"/>
      <c r="U469" s="1"/>
    </row>
    <row r="470" spans="1:21" x14ac:dyDescent="0.25">
      <c r="A470" s="1"/>
      <c r="B470" s="1"/>
      <c r="C470" s="1"/>
      <c r="D470" s="1"/>
      <c r="E470" s="1"/>
      <c r="F470" s="1"/>
      <c r="G470" s="1"/>
      <c r="H470" s="1"/>
      <c r="I470" s="1"/>
      <c r="J470" s="1"/>
      <c r="K470" s="1"/>
      <c r="L470" s="1"/>
      <c r="M470" s="1"/>
      <c r="N470" s="1"/>
      <c r="O470" s="1"/>
      <c r="P470" s="1"/>
      <c r="Q470" s="1"/>
      <c r="R470" s="1"/>
      <c r="S470" s="1"/>
      <c r="T470" s="1"/>
      <c r="U470" s="1"/>
    </row>
    <row r="471" spans="1:21" x14ac:dyDescent="0.25">
      <c r="A471" s="1"/>
      <c r="B471" s="1"/>
      <c r="C471" s="1"/>
      <c r="D471" s="1"/>
      <c r="E471" s="1"/>
      <c r="F471" s="1"/>
      <c r="G471" s="1"/>
      <c r="H471" s="1"/>
      <c r="I471" s="1"/>
      <c r="J471" s="1"/>
      <c r="K471" s="1"/>
      <c r="L471" s="1"/>
      <c r="M471" s="1"/>
      <c r="N471" s="1"/>
      <c r="O471" s="1"/>
      <c r="P471" s="1"/>
      <c r="Q471" s="1"/>
      <c r="R471" s="1"/>
      <c r="S471" s="1"/>
      <c r="T471" s="1"/>
      <c r="U471" s="1"/>
    </row>
    <row r="472" spans="1:21" x14ac:dyDescent="0.25">
      <c r="A472" s="1"/>
      <c r="B472" s="1"/>
      <c r="C472" s="1"/>
      <c r="D472" s="1"/>
      <c r="E472" s="1"/>
      <c r="F472" s="1"/>
      <c r="G472" s="1"/>
      <c r="H472" s="1"/>
      <c r="I472" s="1"/>
      <c r="J472" s="1"/>
      <c r="K472" s="1"/>
      <c r="L472" s="1"/>
      <c r="M472" s="1"/>
      <c r="N472" s="1"/>
      <c r="O472" s="1"/>
      <c r="P472" s="1"/>
      <c r="Q472" s="1"/>
      <c r="R472" s="1"/>
      <c r="S472" s="1"/>
      <c r="T472" s="1"/>
      <c r="U472" s="1"/>
    </row>
    <row r="473" spans="1:21" x14ac:dyDescent="0.25">
      <c r="A473" s="1"/>
      <c r="B473" s="1"/>
      <c r="C473" s="1"/>
      <c r="D473" s="1"/>
      <c r="E473" s="1"/>
      <c r="F473" s="1"/>
      <c r="G473" s="1"/>
      <c r="H473" s="1"/>
      <c r="I473" s="1"/>
      <c r="J473" s="1"/>
      <c r="K473" s="1"/>
      <c r="L473" s="1"/>
      <c r="M473" s="1"/>
      <c r="N473" s="1"/>
      <c r="O473" s="1"/>
      <c r="P473" s="1"/>
      <c r="Q473" s="1"/>
      <c r="R473" s="1"/>
      <c r="S473" s="1"/>
      <c r="T473" s="1"/>
      <c r="U473" s="1"/>
    </row>
    <row r="474" spans="1:21" x14ac:dyDescent="0.25">
      <c r="A474" s="1"/>
      <c r="B474" s="1"/>
      <c r="C474" s="1"/>
      <c r="D474" s="1"/>
      <c r="E474" s="1"/>
      <c r="F474" s="1"/>
      <c r="G474" s="1"/>
      <c r="H474" s="1"/>
      <c r="I474" s="1"/>
      <c r="J474" s="1"/>
      <c r="K474" s="1"/>
      <c r="L474" s="1"/>
      <c r="M474" s="1"/>
      <c r="N474" s="1"/>
      <c r="O474" s="1"/>
      <c r="P474" s="1"/>
      <c r="Q474" s="1"/>
      <c r="R474" s="1"/>
      <c r="S474" s="1"/>
      <c r="T474" s="1"/>
      <c r="U474" s="1"/>
    </row>
    <row r="475" spans="1:21" x14ac:dyDescent="0.25">
      <c r="A475" s="1"/>
      <c r="B475" s="1"/>
      <c r="C475" s="1"/>
      <c r="D475" s="1"/>
      <c r="E475" s="1"/>
      <c r="F475" s="1"/>
      <c r="G475" s="1"/>
      <c r="H475" s="1"/>
      <c r="I475" s="1"/>
      <c r="J475" s="1"/>
      <c r="K475" s="1"/>
      <c r="L475" s="1"/>
      <c r="M475" s="1"/>
      <c r="N475" s="1"/>
      <c r="O475" s="1"/>
      <c r="P475" s="1"/>
      <c r="Q475" s="1"/>
      <c r="R475" s="1"/>
      <c r="S475" s="1"/>
      <c r="T475" s="1"/>
      <c r="U475" s="1"/>
    </row>
    <row r="476" spans="1:21" x14ac:dyDescent="0.25">
      <c r="A476" s="1"/>
      <c r="B476" s="1"/>
      <c r="C476" s="1"/>
      <c r="D476" s="1"/>
      <c r="E476" s="1"/>
      <c r="F476" s="1"/>
      <c r="G476" s="1"/>
      <c r="H476" s="1"/>
      <c r="I476" s="1"/>
      <c r="J476" s="1"/>
      <c r="K476" s="1"/>
      <c r="L476" s="1"/>
      <c r="M476" s="1"/>
      <c r="N476" s="1"/>
      <c r="O476" s="1"/>
      <c r="P476" s="1"/>
      <c r="Q476" s="1"/>
      <c r="R476" s="1"/>
      <c r="S476" s="1"/>
      <c r="T476" s="1"/>
      <c r="U476" s="1"/>
    </row>
    <row r="477" spans="1:21" x14ac:dyDescent="0.25">
      <c r="A477" s="1"/>
      <c r="B477" s="1"/>
      <c r="C477" s="1"/>
      <c r="D477" s="1"/>
      <c r="E477" s="1"/>
      <c r="F477" s="1"/>
      <c r="G477" s="1"/>
      <c r="H477" s="1"/>
      <c r="I477" s="1"/>
      <c r="J477" s="1"/>
      <c r="K477" s="1"/>
      <c r="L477" s="1"/>
      <c r="M477" s="1"/>
      <c r="N477" s="1"/>
      <c r="O477" s="1"/>
      <c r="P477" s="1"/>
      <c r="Q477" s="1"/>
      <c r="R477" s="1"/>
      <c r="S477" s="1"/>
      <c r="T477" s="1"/>
      <c r="U477" s="1"/>
    </row>
    <row r="478" spans="1:21" x14ac:dyDescent="0.25">
      <c r="A478" s="1"/>
      <c r="B478" s="1"/>
      <c r="C478" s="1"/>
      <c r="D478" s="1"/>
      <c r="E478" s="1"/>
      <c r="F478" s="1"/>
      <c r="G478" s="1"/>
      <c r="H478" s="1"/>
      <c r="I478" s="1"/>
      <c r="J478" s="1"/>
      <c r="K478" s="1"/>
      <c r="L478" s="1"/>
      <c r="M478" s="1"/>
      <c r="N478" s="1"/>
      <c r="O478" s="1"/>
      <c r="P478" s="1"/>
      <c r="Q478" s="1"/>
      <c r="R478" s="1"/>
      <c r="S478" s="1"/>
      <c r="T478" s="1"/>
      <c r="U478" s="1"/>
    </row>
    <row r="479" spans="1:21" x14ac:dyDescent="0.25">
      <c r="A479" s="1"/>
      <c r="B479" s="1"/>
      <c r="C479" s="1"/>
      <c r="D479" s="1"/>
      <c r="E479" s="1"/>
      <c r="F479" s="1"/>
      <c r="G479" s="1"/>
      <c r="H479" s="1"/>
      <c r="I479" s="1"/>
      <c r="J479" s="1"/>
      <c r="K479" s="1"/>
      <c r="L479" s="1"/>
      <c r="M479" s="1"/>
      <c r="N479" s="1"/>
      <c r="O479" s="1"/>
      <c r="P479" s="1"/>
      <c r="Q479" s="1"/>
      <c r="R479" s="1"/>
      <c r="S479" s="1"/>
      <c r="T479" s="1"/>
      <c r="U479" s="1"/>
    </row>
    <row r="480" spans="1:21" x14ac:dyDescent="0.25">
      <c r="A480" s="1"/>
      <c r="B480" s="1"/>
      <c r="C480" s="1"/>
      <c r="D480" s="1"/>
      <c r="E480" s="1"/>
      <c r="F480" s="1"/>
      <c r="G480" s="1"/>
      <c r="H480" s="1"/>
      <c r="I480" s="1"/>
      <c r="J480" s="1"/>
      <c r="K480" s="1"/>
      <c r="L480" s="1"/>
      <c r="M480" s="1"/>
      <c r="N480" s="1"/>
      <c r="O480" s="1"/>
      <c r="P480" s="1"/>
      <c r="Q480" s="1"/>
      <c r="R480" s="1"/>
      <c r="S480" s="1"/>
      <c r="T480" s="1"/>
      <c r="U480" s="1"/>
    </row>
    <row r="481" spans="1:21" x14ac:dyDescent="0.25">
      <c r="A481" s="1"/>
      <c r="B481" s="1"/>
      <c r="C481" s="1"/>
      <c r="D481" s="1"/>
      <c r="E481" s="1"/>
      <c r="F481" s="1"/>
      <c r="G481" s="1"/>
      <c r="H481" s="1"/>
      <c r="I481" s="1"/>
      <c r="J481" s="1"/>
      <c r="K481" s="1"/>
      <c r="L481" s="1"/>
      <c r="M481" s="1"/>
      <c r="N481" s="1"/>
      <c r="O481" s="1"/>
      <c r="P481" s="1"/>
      <c r="Q481" s="1"/>
      <c r="R481" s="1"/>
      <c r="S481" s="1"/>
      <c r="T481" s="1"/>
      <c r="U481" s="1"/>
    </row>
    <row r="482" spans="1:21" x14ac:dyDescent="0.25">
      <c r="A482" s="1"/>
      <c r="B482" s="1"/>
      <c r="C482" s="1"/>
      <c r="D482" s="1"/>
      <c r="E482" s="1"/>
      <c r="F482" s="1"/>
      <c r="G482" s="1"/>
      <c r="H482" s="1"/>
      <c r="I482" s="1"/>
      <c r="J482" s="1"/>
      <c r="K482" s="1"/>
      <c r="L482" s="1"/>
      <c r="M482" s="1"/>
      <c r="N482" s="1"/>
      <c r="O482" s="1"/>
      <c r="P482" s="1"/>
      <c r="Q482" s="1"/>
      <c r="R482" s="1"/>
      <c r="S482" s="1"/>
      <c r="T482" s="1"/>
      <c r="U482" s="1"/>
    </row>
    <row r="483" spans="1:21" x14ac:dyDescent="0.25">
      <c r="A483" s="1"/>
      <c r="B483" s="1"/>
      <c r="C483" s="1"/>
      <c r="D483" s="1"/>
      <c r="E483" s="1"/>
      <c r="F483" s="1"/>
      <c r="G483" s="1"/>
      <c r="H483" s="1"/>
      <c r="I483" s="1"/>
      <c r="J483" s="1"/>
      <c r="K483" s="1"/>
      <c r="L483" s="1"/>
      <c r="M483" s="1"/>
      <c r="N483" s="1"/>
      <c r="O483" s="1"/>
      <c r="P483" s="1"/>
      <c r="Q483" s="1"/>
      <c r="R483" s="1"/>
      <c r="S483" s="1"/>
      <c r="T483" s="1"/>
      <c r="U483" s="1"/>
    </row>
    <row r="484" spans="1:21" x14ac:dyDescent="0.25">
      <c r="A484" s="1"/>
      <c r="B484" s="1"/>
      <c r="C484" s="1"/>
      <c r="D484" s="1"/>
      <c r="E484" s="1"/>
      <c r="F484" s="1"/>
      <c r="G484" s="1"/>
      <c r="H484" s="1"/>
      <c r="I484" s="1"/>
      <c r="J484" s="1"/>
      <c r="K484" s="1"/>
      <c r="L484" s="1"/>
      <c r="M484" s="1"/>
      <c r="N484" s="1"/>
      <c r="O484" s="1"/>
      <c r="P484" s="1"/>
      <c r="Q484" s="1"/>
      <c r="R484" s="1"/>
      <c r="S484" s="1"/>
      <c r="T484" s="1"/>
      <c r="U484" s="1"/>
    </row>
    <row r="485" spans="1:21" x14ac:dyDescent="0.25">
      <c r="A485" s="1"/>
      <c r="B485" s="1"/>
      <c r="C485" s="1"/>
      <c r="D485" s="1"/>
      <c r="E485" s="1"/>
      <c r="F485" s="1"/>
      <c r="G485" s="1"/>
      <c r="H485" s="1"/>
      <c r="I485" s="1"/>
      <c r="J485" s="1"/>
      <c r="K485" s="1"/>
      <c r="L485" s="1"/>
      <c r="M485" s="1"/>
      <c r="N485" s="1"/>
      <c r="O485" s="1"/>
      <c r="P485" s="1"/>
      <c r="Q485" s="1"/>
      <c r="R485" s="1"/>
      <c r="S485" s="1"/>
      <c r="T485" s="1"/>
      <c r="U485" s="1"/>
    </row>
    <row r="486" spans="1:21" x14ac:dyDescent="0.25">
      <c r="A486" s="1"/>
      <c r="B486" s="1"/>
      <c r="C486" s="1"/>
      <c r="D486" s="1"/>
      <c r="E486" s="1"/>
      <c r="F486" s="1"/>
      <c r="G486" s="1"/>
      <c r="H486" s="1"/>
      <c r="I486" s="1"/>
      <c r="J486" s="1"/>
      <c r="K486" s="1"/>
      <c r="L486" s="1"/>
      <c r="M486" s="1"/>
      <c r="N486" s="1"/>
      <c r="O486" s="1"/>
      <c r="P486" s="1"/>
      <c r="Q486" s="1"/>
      <c r="R486" s="1"/>
      <c r="S486" s="1"/>
      <c r="T486" s="1"/>
      <c r="U486" s="1"/>
    </row>
    <row r="487" spans="1:21" x14ac:dyDescent="0.25">
      <c r="A487" s="1"/>
      <c r="B487" s="1"/>
      <c r="C487" s="1"/>
      <c r="D487" s="1"/>
      <c r="E487" s="1"/>
      <c r="F487" s="1"/>
      <c r="G487" s="1"/>
      <c r="H487" s="1"/>
      <c r="I487" s="1"/>
      <c r="J487" s="1"/>
      <c r="K487" s="1"/>
      <c r="L487" s="1"/>
      <c r="M487" s="1"/>
      <c r="N487" s="1"/>
      <c r="O487" s="1"/>
      <c r="P487" s="1"/>
      <c r="Q487" s="1"/>
      <c r="R487" s="1"/>
      <c r="S487" s="1"/>
      <c r="T487" s="1"/>
      <c r="U487" s="1"/>
    </row>
    <row r="488" spans="1:21" x14ac:dyDescent="0.25">
      <c r="A488" s="1"/>
      <c r="B488" s="1"/>
      <c r="C488" s="1"/>
      <c r="D488" s="1"/>
      <c r="E488" s="1"/>
      <c r="F488" s="1"/>
      <c r="G488" s="1"/>
      <c r="H488" s="1"/>
      <c r="I488" s="1"/>
      <c r="J488" s="1"/>
      <c r="K488" s="1"/>
      <c r="L488" s="1"/>
      <c r="M488" s="1"/>
      <c r="N488" s="1"/>
      <c r="O488" s="1"/>
      <c r="P488" s="1"/>
      <c r="Q488" s="1"/>
      <c r="R488" s="1"/>
      <c r="S488" s="1"/>
      <c r="T488" s="1"/>
      <c r="U488" s="1"/>
    </row>
    <row r="489" spans="1:21" x14ac:dyDescent="0.25">
      <c r="A489" s="1"/>
      <c r="B489" s="1"/>
      <c r="C489" s="1"/>
      <c r="D489" s="1"/>
      <c r="E489" s="1"/>
      <c r="F489" s="1"/>
      <c r="G489" s="1"/>
      <c r="H489" s="1"/>
      <c r="I489" s="1"/>
      <c r="J489" s="1"/>
      <c r="K489" s="1"/>
      <c r="L489" s="1"/>
      <c r="M489" s="1"/>
      <c r="N489" s="1"/>
      <c r="O489" s="1"/>
      <c r="P489" s="1"/>
      <c r="Q489" s="1"/>
      <c r="R489" s="1"/>
      <c r="S489" s="1"/>
      <c r="T489" s="1"/>
      <c r="U489" s="1"/>
    </row>
    <row r="490" spans="1:21" x14ac:dyDescent="0.25">
      <c r="A490" s="1"/>
      <c r="B490" s="1"/>
      <c r="C490" s="1"/>
      <c r="D490" s="1"/>
      <c r="E490" s="1"/>
      <c r="F490" s="1"/>
      <c r="G490" s="1"/>
      <c r="H490" s="1"/>
      <c r="I490" s="1"/>
      <c r="J490" s="1"/>
      <c r="K490" s="1"/>
      <c r="L490" s="1"/>
      <c r="M490" s="1"/>
      <c r="N490" s="1"/>
      <c r="O490" s="1"/>
      <c r="P490" s="1"/>
      <c r="Q490" s="1"/>
      <c r="R490" s="1"/>
      <c r="S490" s="1"/>
      <c r="T490" s="1"/>
      <c r="U490" s="1"/>
    </row>
    <row r="491" spans="1:21" x14ac:dyDescent="0.25">
      <c r="A491" s="1"/>
      <c r="B491" s="1"/>
      <c r="C491" s="1"/>
      <c r="D491" s="1"/>
      <c r="E491" s="1"/>
      <c r="F491" s="1"/>
      <c r="G491" s="1"/>
      <c r="H491" s="1"/>
      <c r="I491" s="1"/>
      <c r="J491" s="1"/>
      <c r="K491" s="1"/>
      <c r="L491" s="1"/>
      <c r="M491" s="1"/>
      <c r="N491" s="1"/>
      <c r="O491" s="1"/>
      <c r="P491" s="1"/>
      <c r="Q491" s="1"/>
      <c r="R491" s="1"/>
      <c r="S491" s="1"/>
      <c r="T491" s="1"/>
      <c r="U491" s="1"/>
    </row>
    <row r="492" spans="1:21" x14ac:dyDescent="0.25">
      <c r="A492" s="1"/>
      <c r="B492" s="1"/>
      <c r="C492" s="1"/>
      <c r="D492" s="1"/>
      <c r="E492" s="1"/>
      <c r="F492" s="1"/>
      <c r="G492" s="1"/>
      <c r="H492" s="1"/>
      <c r="I492" s="1"/>
      <c r="J492" s="1"/>
      <c r="K492" s="1"/>
      <c r="L492" s="1"/>
      <c r="M492" s="1"/>
      <c r="N492" s="1"/>
      <c r="O492" s="1"/>
      <c r="P492" s="1"/>
      <c r="Q492" s="1"/>
      <c r="R492" s="1"/>
      <c r="S492" s="1"/>
      <c r="T492" s="1"/>
      <c r="U492" s="1"/>
    </row>
    <row r="493" spans="1:21" x14ac:dyDescent="0.25">
      <c r="A493" s="1"/>
      <c r="B493" s="1"/>
      <c r="C493" s="1"/>
      <c r="D493" s="1"/>
      <c r="E493" s="1"/>
      <c r="F493" s="1"/>
      <c r="G493" s="1"/>
      <c r="H493" s="1"/>
      <c r="I493" s="1"/>
      <c r="J493" s="1"/>
      <c r="K493" s="1"/>
      <c r="L493" s="1"/>
      <c r="M493" s="1"/>
      <c r="N493" s="1"/>
      <c r="O493" s="1"/>
      <c r="P493" s="1"/>
      <c r="Q493" s="1"/>
      <c r="R493" s="1"/>
      <c r="S493" s="1"/>
      <c r="T493" s="1"/>
      <c r="U493" s="1"/>
    </row>
    <row r="494" spans="1:21" x14ac:dyDescent="0.25">
      <c r="A494" s="1"/>
      <c r="B494" s="1"/>
      <c r="C494" s="1"/>
      <c r="D494" s="1"/>
      <c r="E494" s="1"/>
      <c r="F494" s="1"/>
      <c r="G494" s="1"/>
      <c r="H494" s="1"/>
      <c r="I494" s="1"/>
      <c r="J494" s="1"/>
      <c r="K494" s="1"/>
      <c r="L494" s="1"/>
      <c r="M494" s="1"/>
      <c r="N494" s="1"/>
      <c r="O494" s="1"/>
      <c r="P494" s="1"/>
      <c r="Q494" s="1"/>
      <c r="R494" s="1"/>
      <c r="S494" s="1"/>
      <c r="T494" s="1"/>
      <c r="U494" s="1"/>
    </row>
    <row r="495" spans="1:21" x14ac:dyDescent="0.25">
      <c r="A495" s="1"/>
      <c r="B495" s="1"/>
      <c r="C495" s="1"/>
      <c r="D495" s="1"/>
      <c r="E495" s="1"/>
      <c r="F495" s="1"/>
      <c r="G495" s="1"/>
      <c r="H495" s="1"/>
      <c r="I495" s="1"/>
      <c r="J495" s="1"/>
      <c r="K495" s="1"/>
      <c r="L495" s="1"/>
      <c r="M495" s="1"/>
      <c r="N495" s="1"/>
      <c r="O495" s="1"/>
      <c r="P495" s="1"/>
      <c r="Q495" s="1"/>
      <c r="R495" s="1"/>
      <c r="S495" s="1"/>
      <c r="T495" s="1"/>
      <c r="U495" s="1"/>
    </row>
    <row r="496" spans="1:21" x14ac:dyDescent="0.25">
      <c r="A496" s="1"/>
      <c r="B496" s="1"/>
      <c r="C496" s="1"/>
      <c r="D496" s="1"/>
      <c r="E496" s="1"/>
      <c r="F496" s="1"/>
      <c r="G496" s="1"/>
      <c r="H496" s="1"/>
      <c r="I496" s="1"/>
      <c r="J496" s="1"/>
      <c r="K496" s="1"/>
      <c r="L496" s="1"/>
      <c r="M496" s="1"/>
      <c r="N496" s="1"/>
      <c r="O496" s="1"/>
      <c r="P496" s="1"/>
      <c r="Q496" s="1"/>
      <c r="R496" s="1"/>
      <c r="S496" s="1"/>
      <c r="T496" s="1"/>
      <c r="U496" s="1"/>
    </row>
    <row r="497" spans="1:21" x14ac:dyDescent="0.25">
      <c r="A497" s="1"/>
      <c r="B497" s="1"/>
      <c r="C497" s="1"/>
      <c r="D497" s="1"/>
      <c r="E497" s="1"/>
      <c r="F497" s="1"/>
      <c r="G497" s="1"/>
      <c r="H497" s="1"/>
      <c r="I497" s="1"/>
      <c r="J497" s="1"/>
      <c r="K497" s="1"/>
      <c r="L497" s="1"/>
      <c r="M497" s="1"/>
      <c r="N497" s="1"/>
      <c r="O497" s="1"/>
      <c r="P497" s="1"/>
      <c r="Q497" s="1"/>
      <c r="R497" s="1"/>
      <c r="S497" s="1"/>
      <c r="T497" s="1"/>
      <c r="U497" s="1"/>
    </row>
    <row r="498" spans="1:21" x14ac:dyDescent="0.25">
      <c r="A498" s="1"/>
      <c r="B498" s="1"/>
      <c r="C498" s="1"/>
      <c r="D498" s="1"/>
      <c r="E498" s="1"/>
      <c r="F498" s="1"/>
      <c r="G498" s="1"/>
      <c r="H498" s="1"/>
      <c r="I498" s="1"/>
      <c r="J498" s="1"/>
      <c r="K498" s="1"/>
      <c r="L498" s="1"/>
      <c r="M498" s="1"/>
      <c r="N498" s="1"/>
      <c r="O498" s="1"/>
      <c r="P498" s="1"/>
      <c r="Q498" s="1"/>
      <c r="R498" s="1"/>
      <c r="S498" s="1"/>
      <c r="T498" s="1"/>
      <c r="U498" s="1"/>
    </row>
    <row r="499" spans="1:21" x14ac:dyDescent="0.25">
      <c r="A499" s="1"/>
      <c r="B499" s="1"/>
      <c r="C499" s="1"/>
      <c r="D499" s="1"/>
      <c r="E499" s="1"/>
      <c r="F499" s="1"/>
      <c r="G499" s="1"/>
      <c r="H499" s="1"/>
      <c r="I499" s="1"/>
      <c r="J499" s="1"/>
      <c r="K499" s="1"/>
      <c r="L499" s="1"/>
      <c r="M499" s="1"/>
      <c r="N499" s="1"/>
      <c r="O499" s="1"/>
      <c r="P499" s="1"/>
      <c r="Q499" s="1"/>
      <c r="R499" s="1"/>
      <c r="S499" s="1"/>
      <c r="T499" s="1"/>
      <c r="U499" s="1"/>
    </row>
    <row r="500" spans="1:21" x14ac:dyDescent="0.25">
      <c r="A500" s="1"/>
      <c r="B500" s="1"/>
      <c r="C500" s="1"/>
      <c r="D500" s="1"/>
      <c r="E500" s="1"/>
      <c r="F500" s="1"/>
      <c r="G500" s="1"/>
      <c r="H500" s="1"/>
      <c r="I500" s="1"/>
      <c r="J500" s="1"/>
      <c r="K500" s="1"/>
      <c r="L500" s="1"/>
      <c r="M500" s="1"/>
      <c r="N500" s="1"/>
      <c r="O500" s="1"/>
      <c r="P500" s="1"/>
      <c r="Q500" s="1"/>
      <c r="R500" s="1"/>
      <c r="S500" s="1"/>
      <c r="T500" s="1"/>
      <c r="U500" s="1"/>
    </row>
    <row r="501" spans="1:21" x14ac:dyDescent="0.25">
      <c r="A501" s="1"/>
      <c r="B501" s="1"/>
      <c r="C501" s="1"/>
      <c r="D501" s="1"/>
      <c r="E501" s="1"/>
      <c r="F501" s="1"/>
      <c r="G501" s="1"/>
      <c r="H501" s="1"/>
      <c r="I501" s="1"/>
      <c r="J501" s="1"/>
      <c r="K501" s="1"/>
      <c r="L501" s="1"/>
      <c r="M501" s="1"/>
      <c r="N501" s="1"/>
      <c r="O501" s="1"/>
      <c r="P501" s="1"/>
      <c r="Q501" s="1"/>
      <c r="R501" s="1"/>
      <c r="S501" s="1"/>
      <c r="T501" s="1"/>
      <c r="U501" s="1"/>
    </row>
    <row r="502" spans="1:21" x14ac:dyDescent="0.25">
      <c r="A502" s="1"/>
      <c r="B502" s="1"/>
      <c r="C502" s="1"/>
      <c r="D502" s="1"/>
      <c r="E502" s="1"/>
      <c r="F502" s="1"/>
      <c r="G502" s="1"/>
      <c r="H502" s="1"/>
      <c r="I502" s="1"/>
      <c r="J502" s="1"/>
      <c r="K502" s="1"/>
      <c r="L502" s="1"/>
      <c r="M502" s="1"/>
      <c r="N502" s="1"/>
      <c r="O502" s="1"/>
      <c r="P502" s="1"/>
      <c r="Q502" s="1"/>
      <c r="R502" s="1"/>
      <c r="S502" s="1"/>
      <c r="T502" s="1"/>
      <c r="U502" s="1"/>
    </row>
    <row r="503" spans="1:21" x14ac:dyDescent="0.25">
      <c r="A503" s="1"/>
      <c r="B503" s="1"/>
      <c r="C503" s="1"/>
      <c r="D503" s="1"/>
      <c r="E503" s="1"/>
      <c r="F503" s="1"/>
      <c r="G503" s="1"/>
      <c r="H503" s="1"/>
      <c r="I503" s="1"/>
      <c r="J503" s="1"/>
      <c r="K503" s="1"/>
      <c r="L503" s="1"/>
      <c r="M503" s="1"/>
      <c r="N503" s="1"/>
      <c r="O503" s="1"/>
      <c r="P503" s="1"/>
      <c r="Q503" s="1"/>
      <c r="R503" s="1"/>
      <c r="S503" s="1"/>
      <c r="T503" s="1"/>
      <c r="U503" s="1"/>
    </row>
    <row r="504" spans="1:21" x14ac:dyDescent="0.25">
      <c r="A504" s="1"/>
      <c r="B504" s="1"/>
      <c r="C504" s="1"/>
      <c r="D504" s="1"/>
      <c r="E504" s="1"/>
      <c r="F504" s="1"/>
      <c r="G504" s="1"/>
      <c r="H504" s="1"/>
      <c r="I504" s="1"/>
      <c r="J504" s="1"/>
      <c r="K504" s="1"/>
      <c r="L504" s="1"/>
      <c r="M504" s="1"/>
      <c r="N504" s="1"/>
      <c r="O504" s="1"/>
      <c r="P504" s="1"/>
      <c r="Q504" s="1"/>
      <c r="R504" s="1"/>
      <c r="S504" s="1"/>
      <c r="T504" s="1"/>
      <c r="U504" s="1"/>
    </row>
    <row r="505" spans="1:21" x14ac:dyDescent="0.25">
      <c r="A505" s="1"/>
      <c r="B505" s="1"/>
      <c r="C505" s="1"/>
      <c r="D505" s="1"/>
      <c r="E505" s="1"/>
      <c r="F505" s="1"/>
      <c r="G505" s="1"/>
      <c r="H505" s="1"/>
      <c r="I505" s="1"/>
      <c r="J505" s="1"/>
      <c r="K505" s="1"/>
      <c r="L505" s="1"/>
      <c r="M505" s="1"/>
      <c r="N505" s="1"/>
      <c r="O505" s="1"/>
      <c r="P505" s="1"/>
      <c r="Q505" s="1"/>
      <c r="R505" s="1"/>
      <c r="S505" s="1"/>
      <c r="T505" s="1"/>
      <c r="U505" s="1"/>
    </row>
    <row r="506" spans="1:21" x14ac:dyDescent="0.25">
      <c r="A506" s="1"/>
      <c r="B506" s="1"/>
      <c r="C506" s="1"/>
      <c r="D506" s="1"/>
      <c r="E506" s="1"/>
      <c r="F506" s="1"/>
      <c r="G506" s="1"/>
      <c r="H506" s="1"/>
      <c r="I506" s="1"/>
      <c r="J506" s="1"/>
      <c r="K506" s="1"/>
      <c r="L506" s="1"/>
      <c r="M506" s="1"/>
      <c r="N506" s="1"/>
      <c r="O506" s="1"/>
      <c r="P506" s="1"/>
      <c r="Q506" s="1"/>
      <c r="R506" s="1"/>
      <c r="S506" s="1"/>
      <c r="T506" s="1"/>
      <c r="U506" s="1"/>
    </row>
    <row r="507" spans="1:21" x14ac:dyDescent="0.25">
      <c r="A507" s="1"/>
      <c r="B507" s="1"/>
      <c r="C507" s="1"/>
      <c r="D507" s="1"/>
      <c r="E507" s="1"/>
      <c r="F507" s="1"/>
      <c r="G507" s="1"/>
      <c r="H507" s="1"/>
      <c r="I507" s="1"/>
      <c r="J507" s="1"/>
      <c r="K507" s="1"/>
      <c r="L507" s="1"/>
      <c r="M507" s="1"/>
      <c r="N507" s="1"/>
      <c r="O507" s="1"/>
      <c r="P507" s="1"/>
      <c r="Q507" s="1"/>
      <c r="R507" s="1"/>
      <c r="S507" s="1"/>
      <c r="T507" s="1"/>
      <c r="U507" s="1"/>
    </row>
    <row r="508" spans="1:21" x14ac:dyDescent="0.25">
      <c r="A508" s="1"/>
      <c r="B508" s="1"/>
      <c r="C508" s="1"/>
      <c r="D508" s="1"/>
      <c r="E508" s="1"/>
      <c r="F508" s="1"/>
      <c r="G508" s="1"/>
      <c r="H508" s="1"/>
      <c r="I508" s="1"/>
      <c r="J508" s="1"/>
      <c r="K508" s="1"/>
      <c r="L508" s="1"/>
      <c r="M508" s="1"/>
      <c r="N508" s="1"/>
      <c r="O508" s="1"/>
      <c r="P508" s="1"/>
      <c r="Q508" s="1"/>
      <c r="R508" s="1"/>
      <c r="S508" s="1"/>
      <c r="T508" s="1"/>
      <c r="U508" s="1"/>
    </row>
    <row r="509" spans="1:21" x14ac:dyDescent="0.25">
      <c r="A509" s="1"/>
      <c r="B509" s="1"/>
      <c r="C509" s="1"/>
      <c r="D509" s="1"/>
      <c r="E509" s="1"/>
      <c r="F509" s="1"/>
      <c r="G509" s="1"/>
      <c r="H509" s="1"/>
      <c r="I509" s="1"/>
      <c r="J509" s="1"/>
      <c r="K509" s="1"/>
      <c r="L509" s="1"/>
      <c r="M509" s="1"/>
      <c r="N509" s="1"/>
      <c r="O509" s="1"/>
      <c r="P509" s="1"/>
      <c r="Q509" s="1"/>
      <c r="R509" s="1"/>
      <c r="S509" s="1"/>
      <c r="T509" s="1"/>
      <c r="U509" s="1"/>
    </row>
    <row r="510" spans="1:21" x14ac:dyDescent="0.25">
      <c r="A510" s="1"/>
      <c r="B510" s="1"/>
      <c r="C510" s="1"/>
      <c r="D510" s="1"/>
      <c r="E510" s="1"/>
      <c r="F510" s="1"/>
      <c r="G510" s="1"/>
      <c r="H510" s="1"/>
      <c r="I510" s="1"/>
      <c r="J510" s="1"/>
      <c r="K510" s="1"/>
      <c r="L510" s="1"/>
      <c r="M510" s="1"/>
      <c r="N510" s="1"/>
      <c r="O510" s="1"/>
      <c r="P510" s="1"/>
      <c r="Q510" s="1"/>
      <c r="R510" s="1"/>
      <c r="S510" s="1"/>
      <c r="T510" s="1"/>
      <c r="U510" s="1"/>
    </row>
    <row r="511" spans="1:21" x14ac:dyDescent="0.25">
      <c r="A511" s="1"/>
      <c r="B511" s="1"/>
      <c r="C511" s="1"/>
      <c r="D511" s="1"/>
      <c r="E511" s="1"/>
      <c r="F511" s="1"/>
      <c r="G511" s="1"/>
      <c r="H511" s="1"/>
      <c r="I511" s="1"/>
      <c r="J511" s="1"/>
      <c r="K511" s="1"/>
      <c r="L511" s="1"/>
      <c r="M511" s="1"/>
      <c r="N511" s="1"/>
      <c r="O511" s="1"/>
      <c r="P511" s="1"/>
      <c r="Q511" s="1"/>
      <c r="R511" s="1"/>
      <c r="S511" s="1"/>
      <c r="T511" s="1"/>
      <c r="U511" s="1"/>
    </row>
    <row r="512" spans="1:21"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B4" sqref="B4"/>
    </sheetView>
  </sheetViews>
  <sheetFormatPr defaultRowHeight="15" x14ac:dyDescent="0.25"/>
  <cols>
    <col min="1" max="1" width="14.7109375" customWidth="1"/>
  </cols>
  <sheetData>
    <row r="2" spans="1:5" x14ac:dyDescent="0.25">
      <c r="A2" s="1" t="s">
        <v>28</v>
      </c>
      <c r="B2" s="1" t="s">
        <v>176</v>
      </c>
      <c r="E2" s="1"/>
    </row>
    <row r="3" spans="1:5" x14ac:dyDescent="0.25">
      <c r="A3" t="s">
        <v>3</v>
      </c>
      <c r="B3" t="s">
        <v>21</v>
      </c>
      <c r="E3" s="1"/>
    </row>
    <row r="4" spans="1:5" x14ac:dyDescent="0.25">
      <c r="A4" s="1" t="s">
        <v>172</v>
      </c>
      <c r="B4" s="1" t="s">
        <v>177</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f>Inputs!C33</f>
        <v>0</v>
      </c>
    </row>
    <row r="10" spans="1:1" x14ac:dyDescent="0.25">
      <c r="A10" s="3">
        <f>Inputs!C34</f>
        <v>0</v>
      </c>
    </row>
    <row r="11" spans="1:1" x14ac:dyDescent="0.25">
      <c r="A11" s="3">
        <f>Inputs!C35</f>
        <v>0</v>
      </c>
    </row>
    <row r="12" spans="1:1" x14ac:dyDescent="0.25">
      <c r="A12" s="3">
        <f>Inputs!C36</f>
        <v>0</v>
      </c>
    </row>
    <row r="13" spans="1:1" x14ac:dyDescent="0.25">
      <c r="A13" s="3">
        <f>Inputs!C37</f>
        <v>0</v>
      </c>
    </row>
    <row r="14" spans="1:1" x14ac:dyDescent="0.25">
      <c r="A14" s="3">
        <f>Inputs!C38</f>
        <v>0</v>
      </c>
    </row>
    <row r="15" spans="1:1" x14ac:dyDescent="0.25">
      <c r="A15" s="3">
        <f>Inputs!C39</f>
        <v>0</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Inputs!W$2</f>
        <v>15</v>
      </c>
      <c r="D43">
        <v>1</v>
      </c>
      <c r="E43" t="s">
        <v>32</v>
      </c>
      <c r="G43" t="s">
        <v>33</v>
      </c>
      <c r="H43" s="28" t="s">
        <v>56</v>
      </c>
      <c r="I43" t="str">
        <f>CONCATENATE("=",E43,F43,G43,H43)</f>
        <v>=Inputs!M$2</v>
      </c>
    </row>
    <row r="44" spans="1:9" x14ac:dyDescent="0.25">
      <c r="A44" s="3">
        <f>Inputs!AM$2</f>
        <v>31</v>
      </c>
      <c r="D44">
        <v>2</v>
      </c>
      <c r="E44" t="s">
        <v>32</v>
      </c>
      <c r="G44" t="s">
        <v>34</v>
      </c>
      <c r="H44" s="28" t="s">
        <v>56</v>
      </c>
      <c r="I44" t="str">
        <f t="shared" ref="I44:I92" si="0">CONCATENATE("=",E44,F44,G44,H44)</f>
        <v>=Inputs!N$2</v>
      </c>
    </row>
    <row r="45" spans="1:9" x14ac:dyDescent="0.25">
      <c r="A45" s="3">
        <f>Inputs!AN$2</f>
        <v>32</v>
      </c>
      <c r="D45">
        <v>3</v>
      </c>
      <c r="E45" t="s">
        <v>32</v>
      </c>
      <c r="G45" t="s">
        <v>35</v>
      </c>
      <c r="H45" s="28" t="s">
        <v>56</v>
      </c>
      <c r="I45" t="str">
        <f t="shared" si="0"/>
        <v>=Inputs!O$2</v>
      </c>
    </row>
    <row r="46" spans="1:9" x14ac:dyDescent="0.25">
      <c r="A46" s="3">
        <f>Inputs!AO$2</f>
        <v>33</v>
      </c>
      <c r="D46">
        <v>4</v>
      </c>
      <c r="E46" t="s">
        <v>32</v>
      </c>
      <c r="G46" t="s">
        <v>36</v>
      </c>
      <c r="H46" s="28" t="s">
        <v>56</v>
      </c>
      <c r="I46" t="str">
        <f t="shared" si="0"/>
        <v>=Inputs!P$2</v>
      </c>
    </row>
    <row r="47" spans="1:9" x14ac:dyDescent="0.25">
      <c r="A47" s="3">
        <f>Inputs!AP$2</f>
        <v>34</v>
      </c>
      <c r="D47">
        <v>5</v>
      </c>
      <c r="E47" t="s">
        <v>32</v>
      </c>
      <c r="G47" t="s">
        <v>37</v>
      </c>
      <c r="H47" s="28" t="s">
        <v>56</v>
      </c>
      <c r="I47" t="str">
        <f t="shared" si="0"/>
        <v>=Inputs!Q$2</v>
      </c>
    </row>
    <row r="48" spans="1:9" x14ac:dyDescent="0.25">
      <c r="A48" s="3">
        <f>Inputs!AQ$2</f>
        <v>35</v>
      </c>
      <c r="D48">
        <v>6</v>
      </c>
      <c r="E48" t="s">
        <v>32</v>
      </c>
      <c r="G48" t="s">
        <v>38</v>
      </c>
      <c r="H48" s="28" t="s">
        <v>56</v>
      </c>
      <c r="I48" t="str">
        <f t="shared" si="0"/>
        <v>=Inputs!R$2</v>
      </c>
    </row>
    <row r="49" spans="1:9" x14ac:dyDescent="0.25">
      <c r="A49" s="3">
        <f>Inputs!AR$2</f>
        <v>36</v>
      </c>
      <c r="D49">
        <v>7</v>
      </c>
      <c r="E49" t="s">
        <v>32</v>
      </c>
      <c r="G49" t="s">
        <v>39</v>
      </c>
      <c r="H49" s="28" t="s">
        <v>56</v>
      </c>
      <c r="I49" t="str">
        <f t="shared" si="0"/>
        <v>=Inputs!S$2</v>
      </c>
    </row>
    <row r="50" spans="1:9" x14ac:dyDescent="0.25">
      <c r="A50" s="3" t="e">
        <f>Inputs!#REF!</f>
        <v>#REF!</v>
      </c>
      <c r="D50">
        <v>8</v>
      </c>
      <c r="E50" t="s">
        <v>32</v>
      </c>
      <c r="G50" t="s">
        <v>40</v>
      </c>
      <c r="H50" s="28" t="s">
        <v>56</v>
      </c>
      <c r="I50" t="str">
        <f t="shared" si="0"/>
        <v>=Inputs!T$2</v>
      </c>
    </row>
    <row r="51" spans="1:9" x14ac:dyDescent="0.25">
      <c r="A51" s="3" t="e">
        <f>Inputs!#REF!</f>
        <v>#REF!</v>
      </c>
      <c r="D51">
        <v>9</v>
      </c>
      <c r="E51" t="s">
        <v>32</v>
      </c>
      <c r="G51" t="s">
        <v>41</v>
      </c>
      <c r="H51" s="28" t="s">
        <v>56</v>
      </c>
      <c r="I51" t="str">
        <f t="shared" si="0"/>
        <v>=Inputs!U$2</v>
      </c>
    </row>
    <row r="52" spans="1:9" x14ac:dyDescent="0.25">
      <c r="A52" s="3" t="e">
        <f>Inputs!#REF!</f>
        <v>#REF!</v>
      </c>
      <c r="D52">
        <v>10</v>
      </c>
      <c r="E52" t="s">
        <v>32</v>
      </c>
      <c r="G52" t="s">
        <v>2</v>
      </c>
      <c r="H52" s="28" t="s">
        <v>56</v>
      </c>
      <c r="I52" t="str">
        <f t="shared" si="0"/>
        <v>=Inputs!V$2</v>
      </c>
    </row>
    <row r="53" spans="1:9" x14ac:dyDescent="0.25">
      <c r="A53" s="3" t="e">
        <f>Inputs!#REF!</f>
        <v>#REF!</v>
      </c>
      <c r="D53">
        <v>11</v>
      </c>
      <c r="E53" t="s">
        <v>32</v>
      </c>
      <c r="G53" t="s">
        <v>42</v>
      </c>
      <c r="H53" s="28" t="s">
        <v>56</v>
      </c>
      <c r="I53" t="str">
        <f t="shared" si="0"/>
        <v>=Inputs!W$2</v>
      </c>
    </row>
    <row r="54" spans="1:9" x14ac:dyDescent="0.25">
      <c r="A54" s="3" t="e">
        <f>Inputs!#REF!</f>
        <v>#REF!</v>
      </c>
      <c r="D54">
        <v>12</v>
      </c>
      <c r="E54" t="s">
        <v>32</v>
      </c>
      <c r="G54" t="s">
        <v>43</v>
      </c>
      <c r="H54" s="28" t="s">
        <v>56</v>
      </c>
      <c r="I54" t="str">
        <f t="shared" si="0"/>
        <v>=Inputs!X$2</v>
      </c>
    </row>
    <row r="55" spans="1:9" x14ac:dyDescent="0.25">
      <c r="A55" s="3" t="e">
        <f>Inputs!#REF!</f>
        <v>#REF!</v>
      </c>
      <c r="D55">
        <v>13</v>
      </c>
      <c r="E55" t="s">
        <v>32</v>
      </c>
      <c r="G55" t="s">
        <v>44</v>
      </c>
      <c r="H55" s="28" t="s">
        <v>56</v>
      </c>
      <c r="I55" t="str">
        <f t="shared" si="0"/>
        <v>=Inputs!Y$2</v>
      </c>
    </row>
    <row r="56" spans="1:9" x14ac:dyDescent="0.25">
      <c r="A56" s="3" t="e">
        <f>Inputs!#REF!</f>
        <v>#REF!</v>
      </c>
      <c r="D56">
        <v>14</v>
      </c>
      <c r="E56" t="s">
        <v>32</v>
      </c>
      <c r="G56" t="s">
        <v>45</v>
      </c>
      <c r="H56" s="28" t="s">
        <v>56</v>
      </c>
      <c r="I56" t="str">
        <f t="shared" si="0"/>
        <v>=Inputs!Z$2</v>
      </c>
    </row>
    <row r="57" spans="1:9" x14ac:dyDescent="0.25">
      <c r="A57" s="3" t="e">
        <f>Inputs!#REF!</f>
        <v>#REF!</v>
      </c>
      <c r="D57">
        <v>15</v>
      </c>
      <c r="E57" t="s">
        <v>32</v>
      </c>
      <c r="F57" t="s">
        <v>46</v>
      </c>
      <c r="G57" t="s">
        <v>46</v>
      </c>
      <c r="H57" s="28" t="s">
        <v>56</v>
      </c>
      <c r="I57" t="str">
        <f t="shared" si="0"/>
        <v>=Inputs!AA$2</v>
      </c>
    </row>
    <row r="58" spans="1:9" x14ac:dyDescent="0.25">
      <c r="A58" s="3" t="e">
        <f>Inputs!#REF!</f>
        <v>#REF!</v>
      </c>
      <c r="D58">
        <v>16</v>
      </c>
      <c r="E58" t="s">
        <v>32</v>
      </c>
      <c r="F58" t="s">
        <v>46</v>
      </c>
      <c r="G58" t="s">
        <v>30</v>
      </c>
      <c r="H58" s="28" t="s">
        <v>56</v>
      </c>
      <c r="I58" t="str">
        <f t="shared" si="0"/>
        <v>=Inputs!AB$2</v>
      </c>
    </row>
    <row r="59" spans="1:9" x14ac:dyDescent="0.25">
      <c r="A59" s="3" t="e">
        <f>Inputs!#REF!</f>
        <v>#REF!</v>
      </c>
      <c r="D59">
        <v>17</v>
      </c>
      <c r="E59" t="s">
        <v>32</v>
      </c>
      <c r="F59" t="s">
        <v>46</v>
      </c>
      <c r="G59" t="s">
        <v>47</v>
      </c>
      <c r="H59" s="28" t="s">
        <v>56</v>
      </c>
      <c r="I59" t="str">
        <f t="shared" si="0"/>
        <v>=Inputs!AC$2</v>
      </c>
    </row>
    <row r="60" spans="1:9" x14ac:dyDescent="0.25">
      <c r="A60" s="3" t="e">
        <f>Inputs!#REF!</f>
        <v>#REF!</v>
      </c>
      <c r="D60">
        <v>18</v>
      </c>
      <c r="E60" t="s">
        <v>32</v>
      </c>
      <c r="F60" t="s">
        <v>46</v>
      </c>
      <c r="G60" t="s">
        <v>29</v>
      </c>
      <c r="H60" s="28" t="s">
        <v>56</v>
      </c>
      <c r="I60" t="str">
        <f t="shared" si="0"/>
        <v>=Inputs!AD$2</v>
      </c>
    </row>
    <row r="61" spans="1:9" x14ac:dyDescent="0.25">
      <c r="A61" s="3" t="e">
        <f>Inputs!#REF!</f>
        <v>#REF!</v>
      </c>
      <c r="D61">
        <v>19</v>
      </c>
      <c r="E61" t="s">
        <v>32</v>
      </c>
      <c r="F61" t="s">
        <v>46</v>
      </c>
      <c r="G61" t="s">
        <v>48</v>
      </c>
      <c r="H61" s="28" t="s">
        <v>56</v>
      </c>
      <c r="I61" t="str">
        <f t="shared" si="0"/>
        <v>=Inputs!AE$2</v>
      </c>
    </row>
    <row r="62" spans="1:9" x14ac:dyDescent="0.25">
      <c r="A62" s="3" t="e">
        <f>Inputs!#REF!</f>
        <v>#REF!</v>
      </c>
      <c r="D62">
        <v>20</v>
      </c>
      <c r="E62" t="s">
        <v>32</v>
      </c>
      <c r="F62" t="s">
        <v>46</v>
      </c>
      <c r="G62" t="s">
        <v>49</v>
      </c>
      <c r="H62" s="28" t="s">
        <v>56</v>
      </c>
      <c r="I62" t="str">
        <f t="shared" si="0"/>
        <v>=Inputs!AF$2</v>
      </c>
    </row>
    <row r="63" spans="1:9" x14ac:dyDescent="0.25">
      <c r="A63" s="3" t="e">
        <f>Inputs!#REF!</f>
        <v>#REF!</v>
      </c>
      <c r="D63">
        <v>21</v>
      </c>
      <c r="E63" t="s">
        <v>32</v>
      </c>
      <c r="F63" t="s">
        <v>46</v>
      </c>
      <c r="G63" t="s">
        <v>50</v>
      </c>
      <c r="H63" s="28" t="s">
        <v>56</v>
      </c>
      <c r="I63" t="str">
        <f t="shared" si="0"/>
        <v>=Inputs!AG$2</v>
      </c>
    </row>
    <row r="64" spans="1:9" x14ac:dyDescent="0.25">
      <c r="A64" s="3" t="e">
        <f>Inputs!#REF!</f>
        <v>#REF!</v>
      </c>
      <c r="D64">
        <v>22</v>
      </c>
      <c r="E64" t="s">
        <v>32</v>
      </c>
      <c r="F64" t="s">
        <v>46</v>
      </c>
      <c r="G64" t="s">
        <v>51</v>
      </c>
      <c r="H64" s="28" t="s">
        <v>56</v>
      </c>
      <c r="I64" t="str">
        <f t="shared" si="0"/>
        <v>=Inputs!AH$2</v>
      </c>
    </row>
    <row r="65" spans="1:9" x14ac:dyDescent="0.25">
      <c r="A65" s="3" t="e">
        <f>Inputs!#REF!</f>
        <v>#REF!</v>
      </c>
      <c r="D65">
        <v>23</v>
      </c>
      <c r="E65" t="s">
        <v>32</v>
      </c>
      <c r="F65" t="s">
        <v>46</v>
      </c>
      <c r="G65" t="s">
        <v>52</v>
      </c>
      <c r="H65" s="28" t="s">
        <v>56</v>
      </c>
      <c r="I65" t="str">
        <f t="shared" si="0"/>
        <v>=Inputs!AI$2</v>
      </c>
    </row>
    <row r="66" spans="1:9" x14ac:dyDescent="0.25">
      <c r="A66" s="3">
        <f>Inputs!C17</f>
        <v>1</v>
      </c>
      <c r="D66">
        <v>24</v>
      </c>
      <c r="E66" t="s">
        <v>32</v>
      </c>
      <c r="F66" t="s">
        <v>46</v>
      </c>
      <c r="G66" t="s">
        <v>53</v>
      </c>
      <c r="H66" s="28" t="s">
        <v>56</v>
      </c>
      <c r="I66" t="str">
        <f t="shared" si="0"/>
        <v>=Inputs!AJ$2</v>
      </c>
    </row>
    <row r="67" spans="1:9" x14ac:dyDescent="0.25">
      <c r="A67" s="3">
        <f>Inputs!C18</f>
        <v>3</v>
      </c>
      <c r="D67">
        <v>25</v>
      </c>
      <c r="E67" t="s">
        <v>32</v>
      </c>
      <c r="F67" t="s">
        <v>46</v>
      </c>
      <c r="G67" t="s">
        <v>54</v>
      </c>
      <c r="H67" s="28" t="s">
        <v>56</v>
      </c>
      <c r="I67" t="str">
        <f t="shared" si="0"/>
        <v>=Inputs!AK$2</v>
      </c>
    </row>
    <row r="68" spans="1:9" x14ac:dyDescent="0.25">
      <c r="A68" s="3">
        <f>Inputs!C19</f>
        <v>11</v>
      </c>
      <c r="D68">
        <v>26</v>
      </c>
      <c r="E68" t="s">
        <v>32</v>
      </c>
      <c r="F68" t="s">
        <v>46</v>
      </c>
      <c r="G68" t="s">
        <v>55</v>
      </c>
      <c r="H68" s="28" t="s">
        <v>56</v>
      </c>
      <c r="I68" t="str">
        <f t="shared" si="0"/>
        <v>=Inputs!AL$2</v>
      </c>
    </row>
    <row r="69" spans="1:9" x14ac:dyDescent="0.25">
      <c r="A69" s="3">
        <f>Inputs!C3</f>
        <v>2</v>
      </c>
      <c r="D69">
        <v>27</v>
      </c>
      <c r="E69" t="s">
        <v>32</v>
      </c>
      <c r="F69" t="s">
        <v>46</v>
      </c>
      <c r="G69" t="s">
        <v>33</v>
      </c>
      <c r="H69" s="28" t="s">
        <v>56</v>
      </c>
      <c r="I69" t="str">
        <f t="shared" si="0"/>
        <v>=Inputs!AM$2</v>
      </c>
    </row>
    <row r="70" spans="1:9" x14ac:dyDescent="0.25">
      <c r="A70" s="3">
        <f>Inputs!M$2</f>
        <v>4</v>
      </c>
      <c r="D70">
        <v>28</v>
      </c>
      <c r="E70" t="s">
        <v>32</v>
      </c>
      <c r="F70" t="s">
        <v>46</v>
      </c>
      <c r="G70" t="s">
        <v>34</v>
      </c>
      <c r="H70" s="28" t="s">
        <v>56</v>
      </c>
      <c r="I70" t="str">
        <f t="shared" si="0"/>
        <v>=Inputs!AN$2</v>
      </c>
    </row>
    <row r="71" spans="1:9" x14ac:dyDescent="0.25">
      <c r="A71" s="3">
        <f>Inputs!N$2</f>
        <v>5</v>
      </c>
      <c r="D71">
        <v>29</v>
      </c>
      <c r="E71" t="s">
        <v>32</v>
      </c>
      <c r="F71" t="s">
        <v>46</v>
      </c>
      <c r="G71" t="s">
        <v>35</v>
      </c>
      <c r="H71" s="28" t="s">
        <v>56</v>
      </c>
      <c r="I71" t="str">
        <f t="shared" si="0"/>
        <v>=Inputs!AO$2</v>
      </c>
    </row>
    <row r="72" spans="1:9" x14ac:dyDescent="0.25">
      <c r="A72" s="3">
        <f>Inputs!Q$2</f>
        <v>8</v>
      </c>
      <c r="D72">
        <v>30</v>
      </c>
      <c r="E72" t="s">
        <v>32</v>
      </c>
      <c r="F72" t="s">
        <v>46</v>
      </c>
      <c r="G72" t="s">
        <v>36</v>
      </c>
      <c r="H72" s="28" t="s">
        <v>56</v>
      </c>
      <c r="I72" t="str">
        <f t="shared" si="0"/>
        <v>=Inputs!AP$2</v>
      </c>
    </row>
    <row r="73" spans="1:9" x14ac:dyDescent="0.25">
      <c r="A73" s="3" t="e">
        <f>Inputs!#REF!</f>
        <v>#REF!</v>
      </c>
      <c r="D73">
        <v>31</v>
      </c>
      <c r="E73" t="s">
        <v>32</v>
      </c>
      <c r="F73" t="s">
        <v>46</v>
      </c>
      <c r="G73" t="s">
        <v>37</v>
      </c>
      <c r="H73" s="28" t="s">
        <v>56</v>
      </c>
      <c r="I73" t="str">
        <f t="shared" si="0"/>
        <v>=Inputs!AQ$2</v>
      </c>
    </row>
    <row r="74" spans="1:9" x14ac:dyDescent="0.25">
      <c r="A74" s="3">
        <f>Inputs!C4</f>
        <v>0</v>
      </c>
      <c r="D74">
        <v>32</v>
      </c>
      <c r="E74" t="s">
        <v>32</v>
      </c>
      <c r="F74" t="s">
        <v>46</v>
      </c>
      <c r="G74" t="s">
        <v>38</v>
      </c>
      <c r="H74" s="28" t="s">
        <v>56</v>
      </c>
      <c r="I74" t="str">
        <f t="shared" si="0"/>
        <v>=Inputs!AR$2</v>
      </c>
    </row>
    <row r="75" spans="1:9" x14ac:dyDescent="0.25">
      <c r="A75" s="3">
        <f>Inputs!C5</f>
        <v>0</v>
      </c>
      <c r="D75">
        <v>33</v>
      </c>
      <c r="E75" t="s">
        <v>32</v>
      </c>
      <c r="F75" t="s">
        <v>46</v>
      </c>
      <c r="G75" t="s">
        <v>39</v>
      </c>
      <c r="H75" s="28" t="s">
        <v>56</v>
      </c>
      <c r="I75" t="str">
        <f t="shared" si="0"/>
        <v>=Inputs!AS$2</v>
      </c>
    </row>
    <row r="76" spans="1:9" x14ac:dyDescent="0.25">
      <c r="A76" s="3">
        <f>Inputs!C20</f>
        <v>0</v>
      </c>
      <c r="D76">
        <v>34</v>
      </c>
      <c r="E76" t="s">
        <v>32</v>
      </c>
      <c r="F76" t="s">
        <v>46</v>
      </c>
      <c r="G76" t="s">
        <v>40</v>
      </c>
      <c r="H76" s="28" t="s">
        <v>56</v>
      </c>
      <c r="I76" t="str">
        <f t="shared" si="0"/>
        <v>=Inputs!AT$2</v>
      </c>
    </row>
    <row r="77" spans="1:9" x14ac:dyDescent="0.25">
      <c r="A77" s="3">
        <f>Inputs!C21</f>
        <v>0</v>
      </c>
      <c r="D77">
        <v>35</v>
      </c>
      <c r="E77" t="s">
        <v>32</v>
      </c>
      <c r="F77" t="s">
        <v>46</v>
      </c>
      <c r="G77" t="s">
        <v>41</v>
      </c>
      <c r="H77" s="28" t="s">
        <v>56</v>
      </c>
      <c r="I77" t="str">
        <f t="shared" si="0"/>
        <v>=Inputs!AU$2</v>
      </c>
    </row>
    <row r="78" spans="1:9" x14ac:dyDescent="0.25">
      <c r="A78" s="3">
        <f>Inputs!C22</f>
        <v>0</v>
      </c>
      <c r="D78">
        <v>36</v>
      </c>
      <c r="E78" t="s">
        <v>32</v>
      </c>
      <c r="F78" t="s">
        <v>46</v>
      </c>
      <c r="G78" t="s">
        <v>2</v>
      </c>
      <c r="H78" s="28" t="s">
        <v>56</v>
      </c>
      <c r="I78" t="str">
        <f t="shared" si="0"/>
        <v>=Inputs!AV$2</v>
      </c>
    </row>
    <row r="79" spans="1:9" x14ac:dyDescent="0.25">
      <c r="A79" s="3">
        <f>Inputs!C23</f>
        <v>0</v>
      </c>
      <c r="D79">
        <v>37</v>
      </c>
      <c r="E79" t="s">
        <v>32</v>
      </c>
      <c r="F79" t="s">
        <v>46</v>
      </c>
      <c r="G79" t="s">
        <v>42</v>
      </c>
      <c r="H79" s="28" t="s">
        <v>56</v>
      </c>
      <c r="I79" t="str">
        <f t="shared" si="0"/>
        <v>=Inputs!AW$2</v>
      </c>
    </row>
    <row r="80" spans="1:9" x14ac:dyDescent="0.25">
      <c r="A80" s="3">
        <f>Inputs!C24</f>
        <v>0</v>
      </c>
      <c r="D80">
        <v>38</v>
      </c>
      <c r="E80" t="s">
        <v>32</v>
      </c>
      <c r="F80" t="s">
        <v>46</v>
      </c>
      <c r="G80" t="s">
        <v>43</v>
      </c>
      <c r="H80" s="28" t="s">
        <v>56</v>
      </c>
      <c r="I80" t="str">
        <f t="shared" si="0"/>
        <v>=Inputs!AX$2</v>
      </c>
    </row>
    <row r="81" spans="1:9" x14ac:dyDescent="0.25">
      <c r="A81" s="3" t="e">
        <f>Inputs!#REF!</f>
        <v>#REF!</v>
      </c>
      <c r="D81">
        <v>39</v>
      </c>
      <c r="E81" t="s">
        <v>32</v>
      </c>
      <c r="F81" t="s">
        <v>46</v>
      </c>
      <c r="G81" t="s">
        <v>44</v>
      </c>
      <c r="H81" s="28" t="s">
        <v>56</v>
      </c>
      <c r="I81" t="str">
        <f t="shared" si="0"/>
        <v>=Inputs!AY$2</v>
      </c>
    </row>
    <row r="82" spans="1:9" x14ac:dyDescent="0.25">
      <c r="A82" s="3" t="e">
        <f>Inputs!#REF!</f>
        <v>#REF!</v>
      </c>
      <c r="D82">
        <v>40</v>
      </c>
      <c r="E82" t="s">
        <v>32</v>
      </c>
      <c r="F82" t="s">
        <v>46</v>
      </c>
      <c r="G82" t="s">
        <v>45</v>
      </c>
      <c r="H82" s="28" t="s">
        <v>56</v>
      </c>
      <c r="I82" t="str">
        <f t="shared" si="0"/>
        <v>=Inputs!AZ$2</v>
      </c>
    </row>
    <row r="83" spans="1:9" x14ac:dyDescent="0.25">
      <c r="A83" s="3" t="e">
        <f>Inputs!#REF!</f>
        <v>#REF!</v>
      </c>
      <c r="D83">
        <v>41</v>
      </c>
      <c r="E83" t="s">
        <v>32</v>
      </c>
      <c r="F83" t="s">
        <v>30</v>
      </c>
      <c r="G83" t="s">
        <v>46</v>
      </c>
      <c r="H83" s="28" t="s">
        <v>56</v>
      </c>
      <c r="I83" t="str">
        <f t="shared" si="0"/>
        <v>=Inputs!BA$2</v>
      </c>
    </row>
    <row r="84" spans="1:9" x14ac:dyDescent="0.25">
      <c r="A84" s="3" t="e">
        <f>Inputs!#REF!</f>
        <v>#REF!</v>
      </c>
      <c r="D84">
        <v>42</v>
      </c>
      <c r="E84" t="s">
        <v>32</v>
      </c>
      <c r="F84" t="s">
        <v>30</v>
      </c>
      <c r="G84" t="s">
        <v>30</v>
      </c>
      <c r="H84" s="28" t="s">
        <v>56</v>
      </c>
      <c r="I84" t="str">
        <f t="shared" si="0"/>
        <v>=Inputs!BB$2</v>
      </c>
    </row>
    <row r="85" spans="1:9" x14ac:dyDescent="0.25">
      <c r="A85" s="3" t="e">
        <f>Inputs!#REF!</f>
        <v>#REF!</v>
      </c>
      <c r="D85">
        <v>43</v>
      </c>
      <c r="E85" t="s">
        <v>32</v>
      </c>
      <c r="F85" t="s">
        <v>30</v>
      </c>
      <c r="G85" t="s">
        <v>47</v>
      </c>
      <c r="H85" s="28" t="s">
        <v>56</v>
      </c>
      <c r="I85" t="str">
        <f t="shared" si="0"/>
        <v>=Inputs!BC$2</v>
      </c>
    </row>
    <row r="86" spans="1:9" x14ac:dyDescent="0.25">
      <c r="A86" s="3" t="e">
        <f>Inputs!#REF!</f>
        <v>#REF!</v>
      </c>
      <c r="D86">
        <v>44</v>
      </c>
      <c r="E86" t="s">
        <v>32</v>
      </c>
      <c r="F86" t="s">
        <v>30</v>
      </c>
      <c r="G86" t="s">
        <v>29</v>
      </c>
      <c r="H86" s="28" t="s">
        <v>56</v>
      </c>
      <c r="I86" t="str">
        <f t="shared" si="0"/>
        <v>=Inputs!BD$2</v>
      </c>
    </row>
    <row r="87" spans="1:9" x14ac:dyDescent="0.25">
      <c r="A87" s="3" t="e">
        <f>Inputs!#REF!</f>
        <v>#REF!</v>
      </c>
      <c r="D87">
        <v>45</v>
      </c>
      <c r="E87" t="s">
        <v>32</v>
      </c>
      <c r="F87" t="s">
        <v>30</v>
      </c>
      <c r="G87" t="s">
        <v>48</v>
      </c>
      <c r="H87" s="28" t="s">
        <v>56</v>
      </c>
      <c r="I87" t="str">
        <f t="shared" si="0"/>
        <v>=Inputs!BE$2</v>
      </c>
    </row>
    <row r="88" spans="1:9" x14ac:dyDescent="0.25">
      <c r="A88" s="3">
        <f>Inputs!C25</f>
        <v>0</v>
      </c>
      <c r="D88">
        <v>46</v>
      </c>
      <c r="E88" t="s">
        <v>32</v>
      </c>
      <c r="F88" t="s">
        <v>30</v>
      </c>
      <c r="G88" t="s">
        <v>49</v>
      </c>
      <c r="H88" s="28" t="s">
        <v>56</v>
      </c>
      <c r="I88" t="str">
        <f t="shared" si="0"/>
        <v>=Inputs!BF$2</v>
      </c>
    </row>
    <row r="89" spans="1:9" x14ac:dyDescent="0.25">
      <c r="A89" s="3">
        <f>Inputs!C26</f>
        <v>0</v>
      </c>
      <c r="D89">
        <v>47</v>
      </c>
      <c r="E89" t="s">
        <v>32</v>
      </c>
      <c r="F89" t="s">
        <v>30</v>
      </c>
      <c r="G89" t="s">
        <v>50</v>
      </c>
      <c r="H89" s="28" t="s">
        <v>56</v>
      </c>
      <c r="I89" t="str">
        <f t="shared" si="0"/>
        <v>=Inputs!BG$2</v>
      </c>
    </row>
    <row r="90" spans="1:9" x14ac:dyDescent="0.25">
      <c r="A90" s="3" t="e">
        <f>Inputs!#REF!</f>
        <v>#REF!</v>
      </c>
      <c r="D90">
        <v>48</v>
      </c>
      <c r="E90" t="s">
        <v>32</v>
      </c>
      <c r="F90" t="s">
        <v>30</v>
      </c>
      <c r="G90" t="s">
        <v>51</v>
      </c>
      <c r="H90" s="28" t="s">
        <v>56</v>
      </c>
      <c r="I90" t="str">
        <f t="shared" si="0"/>
        <v>=Inputs!BH$2</v>
      </c>
    </row>
    <row r="91" spans="1:9" x14ac:dyDescent="0.25">
      <c r="A91" s="3" t="e">
        <f>Inputs!#REF!</f>
        <v>#REF!</v>
      </c>
      <c r="D91">
        <v>49</v>
      </c>
      <c r="E91" t="s">
        <v>32</v>
      </c>
      <c r="F91" t="s">
        <v>30</v>
      </c>
      <c r="G91" t="s">
        <v>52</v>
      </c>
      <c r="H91" s="28" t="s">
        <v>56</v>
      </c>
      <c r="I91" t="str">
        <f t="shared" si="0"/>
        <v>=Inputs!BI$2</v>
      </c>
    </row>
    <row r="92" spans="1:9" x14ac:dyDescent="0.25">
      <c r="A92" s="3" t="e">
        <f>Inputs!#REF!</f>
        <v>#REF!</v>
      </c>
      <c r="D92">
        <v>50</v>
      </c>
      <c r="E92" t="s">
        <v>32</v>
      </c>
      <c r="F92" t="s">
        <v>30</v>
      </c>
      <c r="G92" t="s">
        <v>53</v>
      </c>
      <c r="H92" s="28" t="s">
        <v>56</v>
      </c>
      <c r="I92" t="str">
        <f t="shared" si="0"/>
        <v>=Inputs!BJ$2</v>
      </c>
    </row>
    <row r="93" spans="1:9" x14ac:dyDescent="0.25">
      <c r="A93" s="3" t="e">
        <f>Inputs!#REF!</f>
        <v>#REF!</v>
      </c>
    </row>
    <row r="94" spans="1:9" x14ac:dyDescent="0.25">
      <c r="A94" s="3" t="e">
        <f>Inputs!#REF!</f>
        <v>#REF!</v>
      </c>
    </row>
    <row r="95" spans="1:9" x14ac:dyDescent="0.25">
      <c r="A95" s="3">
        <f>Inputs!C27</f>
        <v>0</v>
      </c>
    </row>
    <row r="96" spans="1:9" x14ac:dyDescent="0.25">
      <c r="A96" s="3">
        <f>Inputs!C28</f>
        <v>0</v>
      </c>
    </row>
    <row r="97" spans="1:1" x14ac:dyDescent="0.25">
      <c r="A97" s="3">
        <f>Inputs!C29</f>
        <v>0</v>
      </c>
    </row>
    <row r="98" spans="1:1" x14ac:dyDescent="0.25">
      <c r="A98" s="3" t="e">
        <f>Inputs!#REF!</f>
        <v>#REF!</v>
      </c>
    </row>
    <row r="99" spans="1:1" x14ac:dyDescent="0.25">
      <c r="A99" s="3" t="e">
        <f>Inputs!#REF!</f>
        <v>#REF!</v>
      </c>
    </row>
    <row r="100" spans="1:1" x14ac:dyDescent="0.25">
      <c r="A100" s="3" t="e">
        <f>Inputs!#REF!</f>
        <v>#REF!</v>
      </c>
    </row>
    <row r="101" spans="1:1" x14ac:dyDescent="0.25">
      <c r="A101" s="3">
        <f>Inputs!O$2</f>
        <v>6</v>
      </c>
    </row>
    <row r="102" spans="1:1" x14ac:dyDescent="0.25">
      <c r="A102" s="3">
        <f>Inputs!P$2</f>
        <v>7</v>
      </c>
    </row>
    <row r="103" spans="1:1" x14ac:dyDescent="0.25">
      <c r="A103" s="3">
        <f>Inputs!S$2</f>
        <v>10</v>
      </c>
    </row>
    <row r="104" spans="1:1" x14ac:dyDescent="0.25">
      <c r="A104" s="3">
        <f>Inputs!V$2</f>
        <v>14</v>
      </c>
    </row>
    <row r="105" spans="1:1" x14ac:dyDescent="0.25">
      <c r="A105" s="3">
        <f>Inputs!AJ$2</f>
        <v>28</v>
      </c>
    </row>
    <row r="106" spans="1:1" x14ac:dyDescent="0.25">
      <c r="A106" s="3">
        <f>Inputs!AK$2</f>
        <v>29</v>
      </c>
    </row>
    <row r="107" spans="1:1" x14ac:dyDescent="0.25">
      <c r="A107" s="3">
        <f>Inputs!AL$2</f>
        <v>30</v>
      </c>
    </row>
    <row r="108" spans="1:1" x14ac:dyDescent="0.25">
      <c r="A108" s="3">
        <f>Inputs!C30</f>
        <v>0</v>
      </c>
    </row>
    <row r="109" spans="1:1" x14ac:dyDescent="0.25">
      <c r="A109" s="3">
        <f>Inputs!C31</f>
        <v>0</v>
      </c>
    </row>
    <row r="110" spans="1:1" x14ac:dyDescent="0.25">
      <c r="A110" s="3">
        <f>Inputs!C32</f>
        <v>0</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000000005679</v>
      </c>
      <c r="D5" t="str">
        <f>Data1!C3</f>
        <v>003</v>
      </c>
      <c r="E5" t="str">
        <f>Data1!D3</f>
        <v>1076</v>
      </c>
      <c r="F5" t="str">
        <f>Data1!E3</f>
        <v>1080</v>
      </c>
      <c r="G5" t="str">
        <f>Data1!F3</f>
        <v>001</v>
      </c>
      <c r="H5" t="str">
        <f>Data1!G3</f>
        <v>003</v>
      </c>
      <c r="I5" t="str">
        <f>Data1!H3</f>
        <v>X</v>
      </c>
      <c r="J5" t="str">
        <f>Data1!I3</f>
        <v>20160328070000</v>
      </c>
      <c r="K5" t="str">
        <f>Data1!J3</f>
        <v>20160328080000</v>
      </c>
      <c r="L5" t="str">
        <f>Data1!K3</f>
        <v>1</v>
      </c>
      <c r="M5" t="str">
        <f>Data1!L3</f>
        <v>0178</v>
      </c>
      <c r="N5" t="str">
        <f>Data1!M3</f>
        <v>0229</v>
      </c>
      <c r="P5" t="str">
        <f>Data1!N3</f>
        <v>00450</v>
      </c>
      <c r="Q5" t="str">
        <f>Data1!O3</f>
        <v>05</v>
      </c>
      <c r="R5" t="str">
        <f>Data1!P3</f>
        <v>0727</v>
      </c>
      <c r="S5" t="str">
        <f>Data1!Q3</f>
        <v>05</v>
      </c>
      <c r="T5" t="str">
        <f>Data1!R3</f>
        <v>00</v>
      </c>
      <c r="U5" t="str">
        <f>Data1!S3</f>
        <v>05</v>
      </c>
      <c r="V5" t="str">
        <f>Data1!T3</f>
        <v>05</v>
      </c>
      <c r="W5" t="str">
        <f>Data1!U3</f>
        <v>05</v>
      </c>
    </row>
    <row r="6" spans="1:23" x14ac:dyDescent="0.25">
      <c r="A6" t="str">
        <f>Data1!A4</f>
        <v>D</v>
      </c>
      <c r="B6" t="str">
        <f>Data1!B4</f>
        <v>000000005680</v>
      </c>
      <c r="D6" t="str">
        <f>Data1!C4</f>
        <v>003</v>
      </c>
      <c r="E6" t="str">
        <f>Data1!D4</f>
        <v>1076</v>
      </c>
      <c r="F6" t="str">
        <f>Data1!E4</f>
        <v>1080</v>
      </c>
      <c r="G6" t="str">
        <f>Data1!F4</f>
        <v>001</v>
      </c>
      <c r="H6" t="str">
        <f>Data1!G4</f>
        <v>003</v>
      </c>
      <c r="I6" t="str">
        <f>Data1!H4</f>
        <v>X</v>
      </c>
      <c r="J6" t="str">
        <f>Data1!I4</f>
        <v>20160328080000</v>
      </c>
      <c r="K6" t="str">
        <f>Data1!J4</f>
        <v>20160328090000</v>
      </c>
      <c r="L6" t="str">
        <f>Data1!K4</f>
        <v>1</v>
      </c>
      <c r="M6" t="str">
        <f>Data1!L4</f>
        <v>0177</v>
      </c>
      <c r="N6" t="str">
        <f>Data1!M4</f>
        <v>0229</v>
      </c>
      <c r="P6" t="str">
        <f>Data1!N4</f>
        <v>00450</v>
      </c>
      <c r="Q6" t="str">
        <f>Data1!O4</f>
        <v>05</v>
      </c>
      <c r="R6" t="str">
        <f>Data1!P4</f>
        <v>0727</v>
      </c>
      <c r="S6" t="str">
        <f>Data1!Q4</f>
        <v>05</v>
      </c>
      <c r="T6" t="str">
        <f>Data1!R4</f>
        <v>00</v>
      </c>
      <c r="U6" t="str">
        <f>Data1!S4</f>
        <v>05</v>
      </c>
      <c r="V6" t="str">
        <f>Data1!T4</f>
        <v>05</v>
      </c>
      <c r="W6" t="str">
        <f>Data1!U4</f>
        <v>05</v>
      </c>
    </row>
    <row r="7" spans="1:23" x14ac:dyDescent="0.25">
      <c r="A7" t="str">
        <f>Data1!A5</f>
        <v>D</v>
      </c>
      <c r="B7" t="str">
        <f>Data1!B5</f>
        <v>000000005681</v>
      </c>
      <c r="D7" t="str">
        <f>Data1!C5</f>
        <v>003</v>
      </c>
      <c r="E7" t="str">
        <f>Data1!D5</f>
        <v>1076</v>
      </c>
      <c r="F7" t="str">
        <f>Data1!E5</f>
        <v>1080</v>
      </c>
      <c r="G7" t="str">
        <f>Data1!F5</f>
        <v>001</v>
      </c>
      <c r="H7" t="str">
        <f>Data1!G5</f>
        <v>003</v>
      </c>
      <c r="I7" t="str">
        <f>Data1!H5</f>
        <v>X</v>
      </c>
      <c r="J7" t="str">
        <f>Data1!I5</f>
        <v>20160328070000</v>
      </c>
      <c r="K7" t="str">
        <f>Data1!J5</f>
        <v>20160328080000</v>
      </c>
      <c r="L7" t="str">
        <f>Data1!K5</f>
        <v>1</v>
      </c>
      <c r="M7" t="str">
        <f>Data1!L5</f>
        <v>0177</v>
      </c>
      <c r="N7" t="str">
        <f>Data1!M5</f>
        <v>0229</v>
      </c>
      <c r="P7" t="str">
        <f>Data1!N5</f>
        <v>00450</v>
      </c>
      <c r="Q7" t="str">
        <f>Data1!O5</f>
        <v>05</v>
      </c>
      <c r="R7" t="str">
        <f>Data1!P5</f>
        <v>0727</v>
      </c>
      <c r="S7" t="str">
        <f>Data1!Q5</f>
        <v>05</v>
      </c>
      <c r="T7" t="str">
        <f>Data1!R5</f>
        <v>00</v>
      </c>
      <c r="U7" t="str">
        <f>Data1!S5</f>
        <v>05</v>
      </c>
      <c r="V7" t="str">
        <f>Data1!T5</f>
        <v>05</v>
      </c>
      <c r="W7" t="str">
        <f>Data1!U5</f>
        <v>05</v>
      </c>
    </row>
    <row r="8" spans="1:23" x14ac:dyDescent="0.25">
      <c r="A8" t="str">
        <f>Data1!A6</f>
        <v>D</v>
      </c>
      <c r="B8" t="str">
        <f>Data1!B6</f>
        <v>000000005682</v>
      </c>
      <c r="D8" t="str">
        <f>Data1!C6</f>
        <v>003</v>
      </c>
      <c r="E8" t="str">
        <f>Data1!D6</f>
        <v>1076</v>
      </c>
      <c r="F8" t="str">
        <f>Data1!E6</f>
        <v>1080</v>
      </c>
      <c r="G8" t="str">
        <f>Data1!F6</f>
        <v>001</v>
      </c>
      <c r="H8" t="str">
        <f>Data1!G6</f>
        <v>003</v>
      </c>
      <c r="I8" t="str">
        <f>Data1!H6</f>
        <v>X</v>
      </c>
      <c r="J8" t="str">
        <f>Data1!I6</f>
        <v>20160328070000</v>
      </c>
      <c r="K8" t="str">
        <f>Data1!J6</f>
        <v>20160328080000</v>
      </c>
      <c r="L8" t="str">
        <f>Data1!K6</f>
        <v>1</v>
      </c>
      <c r="M8" t="str">
        <f>Data1!L6</f>
        <v>0177</v>
      </c>
      <c r="N8" t="str">
        <f>Data1!M6</f>
        <v>0229</v>
      </c>
      <c r="P8" t="str">
        <f>Data1!N6</f>
        <v>00450</v>
      </c>
      <c r="Q8" t="str">
        <f>Data1!O6</f>
        <v>05</v>
      </c>
      <c r="R8" t="str">
        <f>Data1!P6</f>
        <v>0727</v>
      </c>
      <c r="S8" t="str">
        <f>Data1!Q6</f>
        <v>05</v>
      </c>
      <c r="T8" t="str">
        <f>Data1!R6</f>
        <v>00</v>
      </c>
      <c r="U8" t="str">
        <f>Data1!S6</f>
        <v>05</v>
      </c>
      <c r="V8" t="str">
        <f>Data1!T6</f>
        <v>05</v>
      </c>
      <c r="W8" t="str">
        <f>Data1!U6</f>
        <v>05</v>
      </c>
    </row>
    <row r="9" spans="1:23" x14ac:dyDescent="0.25">
      <c r="A9" t="str">
        <f>Data1!A7</f>
        <v>D</v>
      </c>
      <c r="B9" t="str">
        <f>Data1!B7</f>
        <v>000000005683</v>
      </c>
      <c r="D9" t="str">
        <f>Data1!C7</f>
        <v>003</v>
      </c>
      <c r="E9" t="str">
        <f>Data1!D7</f>
        <v>1076</v>
      </c>
      <c r="F9" t="str">
        <f>Data1!E7</f>
        <v>1080</v>
      </c>
      <c r="G9" t="str">
        <f>Data1!F7</f>
        <v>001</v>
      </c>
      <c r="H9" t="str">
        <f>Data1!G7</f>
        <v>003</v>
      </c>
      <c r="I9" t="str">
        <f>Data1!H7</f>
        <v>X</v>
      </c>
      <c r="J9" t="str">
        <f>Data1!I7</f>
        <v>20160328070000</v>
      </c>
      <c r="K9" t="str">
        <f>Data1!J7</f>
        <v>20160328080000</v>
      </c>
      <c r="L9" t="str">
        <f>Data1!K7</f>
        <v>1</v>
      </c>
      <c r="M9" t="str">
        <f>Data1!L7</f>
        <v>0177</v>
      </c>
      <c r="N9" t="str">
        <f>Data1!M7</f>
        <v>0229</v>
      </c>
      <c r="P9" t="str">
        <f>Data1!N7</f>
        <v>00450</v>
      </c>
      <c r="Q9" t="str">
        <f>Data1!O7</f>
        <v>05</v>
      </c>
      <c r="R9" t="str">
        <f>Data1!P7</f>
        <v>0727</v>
      </c>
      <c r="S9" t="str">
        <f>Data1!Q7</f>
        <v>05</v>
      </c>
      <c r="T9" t="str">
        <f>Data1!R7</f>
        <v>00</v>
      </c>
      <c r="U9" t="str">
        <f>Data1!S7</f>
        <v>05</v>
      </c>
      <c r="V9" t="str">
        <f>Data1!T7</f>
        <v>05</v>
      </c>
      <c r="W9" t="str">
        <f>Data1!U7</f>
        <v>05</v>
      </c>
    </row>
    <row r="10" spans="1:23" x14ac:dyDescent="0.25">
      <c r="A10" t="str">
        <f>Data1!A8</f>
        <v>D</v>
      </c>
      <c r="B10" t="str">
        <f>Data1!B8</f>
        <v>000000005684</v>
      </c>
      <c r="D10" t="str">
        <f>Data1!C8</f>
        <v>003</v>
      </c>
      <c r="E10" t="str">
        <f>Data1!D8</f>
        <v>1076</v>
      </c>
      <c r="F10" t="str">
        <f>Data1!E8</f>
        <v>1080</v>
      </c>
      <c r="G10" t="str">
        <f>Data1!F8</f>
        <v>001</v>
      </c>
      <c r="H10" t="str">
        <f>Data1!G8</f>
        <v>003</v>
      </c>
      <c r="I10" t="str">
        <f>Data1!H8</f>
        <v>X</v>
      </c>
      <c r="J10" t="str">
        <f>Data1!I8</f>
        <v>20160328070000</v>
      </c>
      <c r="K10" t="str">
        <f>Data1!J8</f>
        <v>20160328080000</v>
      </c>
      <c r="L10" t="str">
        <f>Data1!K8</f>
        <v>1</v>
      </c>
      <c r="M10" t="str">
        <f>Data1!L8</f>
        <v>0177</v>
      </c>
      <c r="N10" t="str">
        <f>Data1!M8</f>
        <v>0229</v>
      </c>
      <c r="P10" t="str">
        <f>Data1!N8</f>
        <v>00450</v>
      </c>
      <c r="Q10" t="str">
        <f>Data1!O8</f>
        <v>05</v>
      </c>
      <c r="R10" t="str">
        <f>Data1!P8</f>
        <v>0727</v>
      </c>
      <c r="S10" t="str">
        <f>Data1!Q8</f>
        <v>05</v>
      </c>
      <c r="T10" t="str">
        <f>Data1!R8</f>
        <v>00</v>
      </c>
      <c r="U10" t="str">
        <f>Data1!S8</f>
        <v>05</v>
      </c>
      <c r="V10" t="str">
        <f>Data1!T8</f>
        <v>05</v>
      </c>
      <c r="W10" t="str">
        <f>Data1!U8</f>
        <v>05</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cols>
    <col min="1" max="2" width="9.140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Help</vt:lpstr>
      <vt:lpstr>Inputs</vt:lpstr>
      <vt:lpstr>Data1</vt:lpstr>
      <vt:lpstr>Data2</vt:lpstr>
      <vt:lpstr>Temp</vt:lpstr>
      <vt:lpstr>Correction</vt:lpstr>
      <vt:lpstr>Sheet1</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2016-05-19T09:05:28Z</dcterms:modified>
</cp:coreProperties>
</file>