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510" windowWidth="13920" windowHeight="4515" activeTab="2"/>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<sst xmlns="http://schemas.openxmlformats.org/spreadsheetml/2006/main" count="4697" uniqueCount="658">
  <si>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</si>
  <si>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</si>
  <si>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</si>
  <si>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</si>
  <si>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</si>
  <si>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</si>
  <si>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</si>
  <si>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</si>
  <si>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</si>
  <si>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</si>
  <si>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</si>
  <si>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</si>
  <si>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</si>
  <si>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</si>
  <si>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</si>
  <si>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</si>
  <si>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</si>
  <si>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</si>
  <si>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</si>
  <si>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</si>
  <si>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</si>
  <si>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</si>
  <si>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</si>
  <si>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</si>
  <si>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</si>
  <si>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</si>
  <si>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</si>
  <si>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</si>
  <si>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</si>
  <si>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</si>
  <si>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</si>
  <si>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</si>
  <si>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</si>
  <si>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</si>
  <si>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</si>
  <si>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</si>
  <si>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</si>
  <si>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</si>
  <si>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</si>
  <si>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</si>
  <si>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</si>
  <si>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</si>
  <si>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</si>
  <si>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</si>
  <si>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</si>
  <si>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</si>
  <si>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</si>
  <si>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</si>
  <si>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</si>
  <si>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</si>
  <si>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</si>
  <si>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</si>
  <si>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</si>
  <si>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</si>
  <si>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</si>
  <si>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</si>
  <si>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</si>
  <si>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</si>
  <si>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</si>
  <si>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</si>
  <si>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</si>
  <si>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</si>
  <si>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</si>
  <si>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</si>
  <si>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</si>
  <si>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</si>
  <si>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</si>
  <si>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</si>
  <si>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</si>
  <si>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</si>
  <si>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</si>
  <si>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</si>
  <si>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</si>
  <si>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</si>
  <si>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</si>
  <si>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</si>
  <si>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</si>
  <si>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</si>
  <si>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</si>
  <si>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</si>
  <si>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</si>
  <si>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</si>
  <si>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</si>
  <si>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</si>
  <si>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</si>
  <si>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</si>
  <si>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001</t>
  </si>
  <si>
    <t>YYYYMMDDHHMMSS</t>
  </si>
  <si>
    <t>07000000</t>
  </si>
  <si>
    <t>Tag #</t>
  </si>
  <si>
    <t>02212345678</t>
  </si>
  <si>
    <t>08000000</t>
  </si>
  <si>
    <t>02212345679</t>
  </si>
  <si>
    <t>02212345680</t>
  </si>
  <si>
    <t>02212345681</t>
  </si>
  <si>
    <t>02212345682</t>
  </si>
  <si>
    <t>02212345683</t>
  </si>
  <si>
    <t>09000000</t>
  </si>
  <si>
    <t>TRANS_DETAIL_SERIAL</t>
  </si>
  <si>
    <t>PLAZA_ID</t>
  </si>
  <si>
    <t>Lane id</t>
  </si>
  <si>
    <t>LANE_SEQ_NUM</t>
  </si>
  <si>
    <t>LANE_MODE</t>
  </si>
  <si>
    <t>TRX_DT_YYYY</t>
  </si>
  <si>
    <t>DMB</t>
  </si>
  <si>
    <t>6448</t>
  </si>
  <si>
    <t>6449</t>
  </si>
  <si>
    <t>6450</t>
  </si>
  <si>
    <t>6451</t>
  </si>
  <si>
    <t>6452</t>
  </si>
  <si>
    <t>6453</t>
  </si>
  <si>
    <t>6454</t>
  </si>
  <si>
    <t>6455</t>
  </si>
  <si>
    <t>6456</t>
  </si>
  <si>
    <t>6457</t>
  </si>
  <si>
    <t>6458</t>
  </si>
  <si>
    <t>6459</t>
  </si>
  <si>
    <t>6460</t>
  </si>
  <si>
    <t>LANE_TYPE</t>
  </si>
  <si>
    <t>Revenue Type</t>
  </si>
  <si>
    <t>REVENUE_TYPE</t>
  </si>
  <si>
    <t>PA_CLASS_CHARGED</t>
  </si>
  <si>
    <t>TAG_CLASS</t>
  </si>
  <si>
    <t>01</t>
  </si>
  <si>
    <t>AVC_CLASS</t>
  </si>
  <si>
    <t>PA_EXTRA_AXLES_CHRG</t>
  </si>
  <si>
    <t>00</t>
  </si>
  <si>
    <t>TAG_AXLES</t>
  </si>
  <si>
    <t>02</t>
  </si>
  <si>
    <t>AVC AXLES</t>
  </si>
  <si>
    <t>03</t>
  </si>
  <si>
    <t>VEH_SPEED</t>
  </si>
  <si>
    <t>AVI_VALIDATION</t>
  </si>
  <si>
    <t>READ_PERF</t>
  </si>
  <si>
    <t>IS_AVC_OVERHEIGHT</t>
  </si>
  <si>
    <t>IS_CLASS_MISMATCH</t>
  </si>
  <si>
    <t>IS_LANE_CLASS_EXCEP</t>
  </si>
  <si>
    <t>000000056790</t>
  </si>
  <si>
    <t>BS</t>
  </si>
  <si>
    <t>20160229070000</t>
  </si>
  <si>
    <t>0000003212</t>
  </si>
  <si>
    <t>7</t>
  </si>
  <si>
    <t>11</t>
  </si>
  <si>
    <t>000000056791</t>
  </si>
  <si>
    <t>20160229080000</t>
  </si>
  <si>
    <t>0000003213</t>
  </si>
  <si>
    <t>000000056792</t>
  </si>
  <si>
    <t>20160229090000</t>
  </si>
  <si>
    <t>0000003214</t>
  </si>
  <si>
    <t>000000056793</t>
  </si>
  <si>
    <t>20160229100000</t>
  </si>
  <si>
    <t>0000003215</t>
  </si>
  <si>
    <t>000000056794</t>
  </si>
  <si>
    <t>20160229110000</t>
  </si>
  <si>
    <t>0000003216</t>
  </si>
  <si>
    <t>000000056795</t>
  </si>
  <si>
    <t>20160229120000</t>
  </si>
  <si>
    <t>0000003217</t>
  </si>
  <si>
    <t>000000056796</t>
  </si>
  <si>
    <t>20160229130000</t>
  </si>
  <si>
    <t>0000003218</t>
  </si>
  <si>
    <t>000000056797</t>
  </si>
  <si>
    <t>20160229140000</t>
  </si>
  <si>
    <t>0000003219</t>
  </si>
  <si>
    <t>000000056798</t>
  </si>
  <si>
    <t>20160229150000</t>
  </si>
  <si>
    <t>0000003220</t>
  </si>
  <si>
    <t>000000056799</t>
  </si>
  <si>
    <t>20160229160000</t>
  </si>
  <si>
    <t>0000003221</t>
  </si>
  <si>
    <t>000000056800</t>
  </si>
  <si>
    <t>0000003222</t>
  </si>
  <si>
    <t>000000056801</t>
  </si>
  <si>
    <t>0000003223</t>
  </si>
  <si>
    <t>000000056802</t>
  </si>
  <si>
    <t>0000003224</t>
  </si>
  <si>
    <t>000000056803</t>
  </si>
  <si>
    <t>0000003225</t>
  </si>
  <si>
    <t>000000056804</t>
  </si>
  <si>
    <t>0000003226</t>
  </si>
  <si>
    <t>000000056805</t>
  </si>
  <si>
    <t>20160129070000</t>
  </si>
  <si>
    <t>0000003227</t>
  </si>
  <si>
    <t>000000056806</t>
  </si>
  <si>
    <t>20160129080000</t>
  </si>
  <si>
    <t>0000003228</t>
  </si>
  <si>
    <t>000000056807</t>
  </si>
  <si>
    <t>20160129090000</t>
  </si>
  <si>
    <t>0000003229</t>
  </si>
  <si>
    <t>000000056808</t>
  </si>
  <si>
    <t>20160129100000</t>
  </si>
  <si>
    <t>0000003230</t>
  </si>
  <si>
    <t>000000056809</t>
  </si>
  <si>
    <t>20160129110000</t>
  </si>
  <si>
    <t>0000003231</t>
  </si>
  <si>
    <t>000000056810</t>
  </si>
  <si>
    <t>20160129120000</t>
  </si>
  <si>
    <t>0000003232</t>
  </si>
  <si>
    <t>000000056811</t>
  </si>
  <si>
    <t>20160129130000</t>
  </si>
  <si>
    <t>0000003233</t>
  </si>
  <si>
    <t>000000056812</t>
  </si>
  <si>
    <t>20160129140000</t>
  </si>
  <si>
    <t>0000003234</t>
  </si>
  <si>
    <t>000000056813</t>
  </si>
  <si>
    <t>20160129150000</t>
  </si>
  <si>
    <t>0000003235</t>
  </si>
  <si>
    <t>000000056814</t>
  </si>
  <si>
    <t>20160129160000</t>
  </si>
  <si>
    <t>0000003236</t>
  </si>
  <si>
    <t>000000056815</t>
  </si>
  <si>
    <t>20160129170000</t>
  </si>
  <si>
    <t>0000003237</t>
  </si>
  <si>
    <t>000000056816</t>
  </si>
  <si>
    <t>20160129180000</t>
  </si>
  <si>
    <t>0000003238</t>
  </si>
  <si>
    <t>000000056817</t>
  </si>
  <si>
    <t>20160129190000</t>
  </si>
  <si>
    <t>0000003239</t>
  </si>
  <si>
    <t>000000056818</t>
  </si>
  <si>
    <t>20160129200000</t>
  </si>
  <si>
    <t>0000003240</t>
  </si>
  <si>
    <t>000000056819</t>
  </si>
  <si>
    <t>20160129210000</t>
  </si>
  <si>
    <t>0000003241</t>
  </si>
  <si>
    <t>000000056820</t>
  </si>
  <si>
    <t>0000003242</t>
  </si>
  <si>
    <t>000000056821</t>
  </si>
  <si>
    <t>0000003243</t>
  </si>
  <si>
    <t>000000056822</t>
  </si>
  <si>
    <t>0000003244</t>
  </si>
  <si>
    <t>000000056823</t>
  </si>
  <si>
    <t>0000003245</t>
  </si>
  <si>
    <t>000000056824</t>
  </si>
  <si>
    <t>0000003246</t>
  </si>
  <si>
    <t>000000056825</t>
  </si>
  <si>
    <t>0000003247</t>
  </si>
  <si>
    <t>000000056826</t>
  </si>
  <si>
    <t>0000003248</t>
  </si>
  <si>
    <t>000000056827</t>
  </si>
  <si>
    <t>0000003249</t>
  </si>
  <si>
    <t>000000056828</t>
  </si>
  <si>
    <t>0000003250</t>
  </si>
  <si>
    <t>000000056829</t>
  </si>
  <si>
    <t>0000003251</t>
  </si>
  <si>
    <t>000000056830</t>
  </si>
  <si>
    <t>20160229170000</t>
  </si>
  <si>
    <t>0000003252</t>
  </si>
  <si>
    <t>000000056831</t>
  </si>
  <si>
    <t>20160229180000</t>
  </si>
  <si>
    <t>0000003253</t>
  </si>
  <si>
    <t>000000056832</t>
  </si>
  <si>
    <t>20160229190000</t>
  </si>
  <si>
    <t>0000003254</t>
  </si>
  <si>
    <t>000000056833</t>
  </si>
  <si>
    <t>20160229200000</t>
  </si>
  <si>
    <t>0000003255</t>
  </si>
  <si>
    <t>000000056834</t>
  </si>
  <si>
    <t>20160229210000</t>
  </si>
  <si>
    <t>0000003256</t>
  </si>
  <si>
    <t>000000056835</t>
  </si>
  <si>
    <t>20160229220000</t>
  </si>
  <si>
    <t>0000003257</t>
  </si>
  <si>
    <t>000000056836</t>
  </si>
  <si>
    <t>20160229230000</t>
  </si>
  <si>
    <t>0000003258</t>
  </si>
  <si>
    <t>000000056837</t>
  </si>
  <si>
    <t>20160301000000</t>
  </si>
  <si>
    <t>0000003259</t>
  </si>
  <si>
    <t>000000056838</t>
  </si>
  <si>
    <t>20160301010000</t>
  </si>
  <si>
    <t>0000003260</t>
  </si>
  <si>
    <t>000000056839</t>
  </si>
  <si>
    <t>20160301020000</t>
  </si>
  <si>
    <t>0000003261</t>
  </si>
  <si>
    <t>000000056840</t>
  </si>
  <si>
    <t>20160301030000</t>
  </si>
  <si>
    <t>0000003262</t>
  </si>
  <si>
    <t>000000056841</t>
  </si>
  <si>
    <t>20160301040000</t>
  </si>
  <si>
    <t>0000003263</t>
  </si>
  <si>
    <t>000000056842</t>
  </si>
  <si>
    <t>20160301050000</t>
  </si>
  <si>
    <t>0000003264</t>
  </si>
  <si>
    <t>000000056843</t>
  </si>
  <si>
    <t>20160301060000</t>
  </si>
  <si>
    <t>0000003265</t>
  </si>
  <si>
    <t>000000056844</t>
  </si>
  <si>
    <t>20160301070000</t>
  </si>
  <si>
    <t>0000003266</t>
  </si>
  <si>
    <t>000000056845</t>
  </si>
  <si>
    <t>20160301080000</t>
  </si>
  <si>
    <t>0000003267</t>
  </si>
  <si>
    <t>000000056846</t>
  </si>
  <si>
    <t>20160301090000</t>
  </si>
  <si>
    <t>0000003268</t>
  </si>
  <si>
    <t>000000056847</t>
  </si>
  <si>
    <t>20160301100000</t>
  </si>
  <si>
    <t>0000003269</t>
  </si>
  <si>
    <t>000000056848</t>
  </si>
  <si>
    <t>20160301110000</t>
  </si>
  <si>
    <t>0000003270</t>
  </si>
  <si>
    <t>000000056849</t>
  </si>
  <si>
    <t>20160301120000</t>
  </si>
  <si>
    <t>0000003271</t>
  </si>
  <si>
    <t>000000056850</t>
  </si>
  <si>
    <t>20160301130000</t>
  </si>
  <si>
    <t>0000003272</t>
  </si>
  <si>
    <t>000000056851</t>
  </si>
  <si>
    <t>20160301140000</t>
  </si>
  <si>
    <t>0000003273</t>
  </si>
  <si>
    <t>000000056852</t>
  </si>
  <si>
    <t>20160301150000</t>
  </si>
  <si>
    <t>0000003274</t>
  </si>
  <si>
    <t>000000056853</t>
  </si>
  <si>
    <t>20160301160000</t>
  </si>
  <si>
    <t>0000003275</t>
  </si>
  <si>
    <t>000000056854</t>
  </si>
  <si>
    <t>20160301170000</t>
  </si>
  <si>
    <t>0000003276</t>
  </si>
  <si>
    <t>000000056855</t>
  </si>
  <si>
    <t>20160301180000</t>
  </si>
  <si>
    <t>0000003277</t>
  </si>
  <si>
    <t>000000056856</t>
  </si>
  <si>
    <t>20160301190000</t>
  </si>
  <si>
    <t>0000003278</t>
  </si>
  <si>
    <t>000000056857</t>
  </si>
  <si>
    <t>20160301200000</t>
  </si>
  <si>
    <t>0000003279</t>
  </si>
  <si>
    <t>000000056858</t>
  </si>
  <si>
    <t>20160301210000</t>
  </si>
  <si>
    <t>0000003280</t>
  </si>
  <si>
    <t>000000056859</t>
  </si>
  <si>
    <t>20160301220000</t>
  </si>
  <si>
    <t>0000003281</t>
  </si>
  <si>
    <t>000000056860</t>
  </si>
  <si>
    <t>20160301230000</t>
  </si>
  <si>
    <t>0000003282</t>
  </si>
  <si>
    <t>000000056861</t>
  </si>
  <si>
    <t>20160302000000</t>
  </si>
  <si>
    <t>0000003283</t>
  </si>
  <si>
    <t>000000056862</t>
  </si>
  <si>
    <t>20160302010000</t>
  </si>
  <si>
    <t>0000003284</t>
  </si>
  <si>
    <t>000000056863</t>
  </si>
  <si>
    <t>20160302020000</t>
  </si>
  <si>
    <t>0000003285</t>
  </si>
  <si>
    <t>000000056864</t>
  </si>
  <si>
    <t>20160302030000</t>
  </si>
  <si>
    <t>0000003286</t>
  </si>
  <si>
    <t>000000056865</t>
  </si>
  <si>
    <t>20160302040000</t>
  </si>
  <si>
    <t>0000003287</t>
  </si>
  <si>
    <t>000000056866</t>
  </si>
  <si>
    <t>20160302050000</t>
  </si>
  <si>
    <t>0000003288</t>
  </si>
  <si>
    <t>000000056867</t>
  </si>
  <si>
    <t>20160302060000</t>
  </si>
  <si>
    <t>0000003289</t>
  </si>
  <si>
    <t>000000056868</t>
  </si>
  <si>
    <t>20160302070000</t>
  </si>
  <si>
    <t>0000003290</t>
  </si>
  <si>
    <t>000000056869</t>
  </si>
  <si>
    <t>20160302080000</t>
  </si>
  <si>
    <t>0000003291</t>
  </si>
  <si>
    <t>000000056870</t>
  </si>
  <si>
    <t>20160302090000</t>
  </si>
  <si>
    <t>0000003292</t>
  </si>
  <si>
    <t>000000056871</t>
  </si>
  <si>
    <t>20160302100000</t>
  </si>
  <si>
    <t>0000003293</t>
  </si>
  <si>
    <t>000000056872</t>
  </si>
  <si>
    <t>20160302110000</t>
  </si>
  <si>
    <t>0000003294</t>
  </si>
  <si>
    <t>000000056873</t>
  </si>
  <si>
    <t>20160302120000</t>
  </si>
  <si>
    <t>0000003295</t>
  </si>
  <si>
    <t>000000056874</t>
  </si>
  <si>
    <t>20160302130000</t>
  </si>
  <si>
    <t>0000003296</t>
  </si>
  <si>
    <t>000000056875</t>
  </si>
  <si>
    <t>0000003297</t>
  </si>
  <si>
    <t>000000056876</t>
  </si>
  <si>
    <t>0000003298</t>
  </si>
  <si>
    <t>000000056877</t>
  </si>
  <si>
    <t>0000003299</t>
  </si>
  <si>
    <t>000000056878</t>
  </si>
  <si>
    <t>0000003300</t>
  </si>
  <si>
    <t>000000056879</t>
  </si>
  <si>
    <t>0000003301</t>
  </si>
  <si>
    <t>000000056880</t>
  </si>
  <si>
    <t>0000003302</t>
  </si>
  <si>
    <t>000000056881</t>
  </si>
  <si>
    <t>0000003303</t>
  </si>
  <si>
    <t>000000056882</t>
  </si>
  <si>
    <t>0000003304</t>
  </si>
  <si>
    <t>000000056883</t>
  </si>
  <si>
    <t>0000003305</t>
  </si>
  <si>
    <t>000000056884</t>
  </si>
  <si>
    <t>0000003306</t>
  </si>
  <si>
    <t>000000056885</t>
  </si>
  <si>
    <t>0000003307</t>
  </si>
  <si>
    <t>000000056886</t>
  </si>
  <si>
    <t>0000003308</t>
  </si>
  <si>
    <t>000000056887</t>
  </si>
  <si>
    <t>0000003309</t>
  </si>
  <si>
    <t>000000056888</t>
  </si>
  <si>
    <t>0000003310</t>
  </si>
  <si>
    <t>000000056889</t>
  </si>
  <si>
    <t>0000003311</t>
  </si>
  <si>
    <t>000000056890</t>
  </si>
  <si>
    <t>0000003312</t>
  </si>
  <si>
    <t>000000056891</t>
  </si>
  <si>
    <t>0000003313</t>
  </si>
  <si>
    <t>000000056892</t>
  </si>
  <si>
    <t>0000003314</t>
  </si>
  <si>
    <t>000000056893</t>
  </si>
  <si>
    <t>0000003315</t>
  </si>
  <si>
    <t>000000056894</t>
  </si>
  <si>
    <t>0000003316</t>
  </si>
  <si>
    <t>000000056895</t>
  </si>
  <si>
    <t>0000003317</t>
  </si>
  <si>
    <t>000000056896</t>
  </si>
  <si>
    <t>0000003318</t>
  </si>
  <si>
    <t>000000056897</t>
  </si>
  <si>
    <t>0000003319</t>
  </si>
  <si>
    <t>000000056898</t>
  </si>
  <si>
    <t>0000003320</t>
  </si>
  <si>
    <t>000000056899</t>
  </si>
  <si>
    <t>0000003321</t>
  </si>
  <si>
    <t>000000056900</t>
  </si>
  <si>
    <t>0000003322</t>
  </si>
  <si>
    <t>000000056901</t>
  </si>
  <si>
    <t>0000003323</t>
  </si>
  <si>
    <t>000000056902</t>
  </si>
  <si>
    <t>0000003324</t>
  </si>
  <si>
    <t>000000056903</t>
  </si>
  <si>
    <t>0000003325</t>
  </si>
  <si>
    <t>000000056904</t>
  </si>
  <si>
    <t>0000003326</t>
  </si>
  <si>
    <t>000000056905</t>
  </si>
  <si>
    <t>0000003327</t>
  </si>
  <si>
    <t>000000056906</t>
  </si>
  <si>
    <t>0000003328</t>
  </si>
  <si>
    <t>000000056907</t>
  </si>
  <si>
    <t>0000003329</t>
  </si>
  <si>
    <t>000000056908</t>
  </si>
  <si>
    <t>0000003330</t>
  </si>
  <si>
    <t>000000056909</t>
  </si>
  <si>
    <t>0000003331</t>
  </si>
  <si>
    <t>000000056910</t>
  </si>
  <si>
    <t>0000003332</t>
  </si>
  <si>
    <t>000000056911</t>
  </si>
  <si>
    <t>0000003333</t>
  </si>
  <si>
    <t>000000056912</t>
  </si>
  <si>
    <t>0000003334</t>
  </si>
  <si>
    <t>000000056913</t>
  </si>
  <si>
    <t>0000003335</t>
  </si>
  <si>
    <t>000000056914</t>
  </si>
  <si>
    <t>0000003336</t>
  </si>
  <si>
    <t>000000056915</t>
  </si>
  <si>
    <t>0000003337</t>
  </si>
  <si>
    <t>000000056916</t>
  </si>
  <si>
    <t>0000003338</t>
  </si>
  <si>
    <t>000000056917</t>
  </si>
  <si>
    <t>0000003339</t>
  </si>
  <si>
    <t>000000056918</t>
  </si>
  <si>
    <t>0000003340</t>
  </si>
  <si>
    <t>000000056919</t>
  </si>
  <si>
    <t>0000003341</t>
  </si>
  <si>
    <t>000000056920</t>
  </si>
  <si>
    <t>0000003342</t>
  </si>
  <si>
    <t>000000056921</t>
  </si>
  <si>
    <t>0000003343</t>
  </si>
  <si>
    <t>000000056922</t>
  </si>
  <si>
    <t>0000003344</t>
  </si>
  <si>
    <t>000000056923</t>
  </si>
  <si>
    <t>0000003345</t>
  </si>
  <si>
    <t>000000056924</t>
  </si>
  <si>
    <t>0000003346</t>
  </si>
  <si>
    <t>000000056925</t>
  </si>
  <si>
    <t>0000003347</t>
  </si>
  <si>
    <t>000000056926</t>
  </si>
  <si>
    <t>0000003348</t>
  </si>
  <si>
    <t>000000056927</t>
  </si>
  <si>
    <t>0000003349</t>
  </si>
  <si>
    <t>000000056928</t>
  </si>
  <si>
    <t>0000003350</t>
  </si>
  <si>
    <t>000000056929</t>
  </si>
  <si>
    <t>0000003351</t>
  </si>
  <si>
    <t>000000056930</t>
  </si>
  <si>
    <t>20160302140000</t>
  </si>
  <si>
    <t>0000003352</t>
  </si>
  <si>
    <t>000000056931</t>
  </si>
  <si>
    <t>20160302150000</t>
  </si>
  <si>
    <t>0000003353</t>
  </si>
  <si>
    <t>000000056932</t>
  </si>
  <si>
    <t>20160302160000</t>
  </si>
  <si>
    <t>0000003354</t>
  </si>
  <si>
    <t>000000056933</t>
  </si>
  <si>
    <t>20160302170000</t>
  </si>
  <si>
    <t>0000003355</t>
  </si>
  <si>
    <t>000000056934</t>
  </si>
  <si>
    <t>20160302180000</t>
  </si>
  <si>
    <t>0000003356</t>
  </si>
  <si>
    <t>000000056935</t>
  </si>
  <si>
    <t>20160302190000</t>
  </si>
  <si>
    <t>0000003357</t>
  </si>
  <si>
    <t>000000056936</t>
  </si>
  <si>
    <t>20160302200000</t>
  </si>
  <si>
    <t>0000003358</t>
  </si>
  <si>
    <t>000000056937</t>
  </si>
  <si>
    <t>20160302210000</t>
  </si>
  <si>
    <t>0000003359</t>
  </si>
  <si>
    <t>000000056938</t>
  </si>
  <si>
    <t>20160302220000</t>
  </si>
  <si>
    <t>0000003360</t>
  </si>
  <si>
    <t>000000056939</t>
  </si>
  <si>
    <t>20160302230000</t>
  </si>
  <si>
    <t>0000003361</t>
  </si>
  <si>
    <t>000000056940</t>
  </si>
  <si>
    <t>20160303000000</t>
  </si>
  <si>
    <t>0000003362</t>
  </si>
  <si>
    <t>000000056941</t>
  </si>
  <si>
    <t>20160303010000</t>
  </si>
  <si>
    <t>0000003363</t>
  </si>
  <si>
    <t>000000056942</t>
  </si>
  <si>
    <t>20160303020000</t>
  </si>
  <si>
    <t>0000003364</t>
  </si>
  <si>
    <t>000000056943</t>
  </si>
  <si>
    <t>20160303030000</t>
  </si>
  <si>
    <t>0000003365</t>
  </si>
  <si>
    <t>000000056944</t>
  </si>
  <si>
    <t>20160303040000</t>
  </si>
  <si>
    <t>0000003366</t>
  </si>
  <si>
    <t>000000056945</t>
  </si>
  <si>
    <t>20160303050000</t>
  </si>
  <si>
    <t>0000003367</t>
  </si>
  <si>
    <t>000000056946</t>
  </si>
  <si>
    <t>20160303060000</t>
  </si>
  <si>
    <t>0000003368</t>
  </si>
  <si>
    <t>000000056947</t>
  </si>
  <si>
    <t>20160303070000</t>
  </si>
  <si>
    <t>0000003369</t>
  </si>
  <si>
    <t>000000056948</t>
  </si>
  <si>
    <t>20160303080000</t>
  </si>
  <si>
    <t>0000003370</t>
  </si>
  <si>
    <t>000000056949</t>
  </si>
  <si>
    <t>20160303090000</t>
  </si>
  <si>
    <t>0000003371</t>
  </si>
  <si>
    <t>000000056950</t>
  </si>
  <si>
    <t>20160303100000</t>
  </si>
  <si>
    <t>0000003372</t>
  </si>
  <si>
    <t>000000056951</t>
  </si>
  <si>
    <t>20160303110000</t>
  </si>
  <si>
    <t>0000003373</t>
  </si>
  <si>
    <t>000000056952</t>
  </si>
  <si>
    <t>20160303120000</t>
  </si>
  <si>
    <t>0000003374</t>
  </si>
  <si>
    <t>000000056953</t>
  </si>
  <si>
    <t>20160303130000</t>
  </si>
  <si>
    <t>0000003375</t>
  </si>
  <si>
    <t>000000056954</t>
  </si>
  <si>
    <t>20160303140000</t>
  </si>
  <si>
    <t>0000003376</t>
  </si>
  <si>
    <t>000000056955</t>
  </si>
  <si>
    <t>20160303150000</t>
  </si>
  <si>
    <t>0000003377</t>
  </si>
  <si>
    <t>000000056956</t>
  </si>
  <si>
    <t>20160303160000</t>
  </si>
  <si>
    <t>0000003378</t>
  </si>
  <si>
    <t>000000056957</t>
  </si>
  <si>
    <t>20160303170000</t>
  </si>
  <si>
    <t>0000003379</t>
  </si>
  <si>
    <t>000000056958</t>
  </si>
  <si>
    <t>20160303180000</t>
  </si>
  <si>
    <t>0000003380</t>
  </si>
  <si>
    <t>000000056959</t>
  </si>
  <si>
    <t>20160303190000</t>
  </si>
  <si>
    <t>0000003381</t>
  </si>
  <si>
    <t>000000056960</t>
  </si>
  <si>
    <t>20160303200000</t>
  </si>
  <si>
    <t>0000003382</t>
  </si>
  <si>
    <t>000000056961</t>
  </si>
  <si>
    <t>20160303210000</t>
  </si>
  <si>
    <t>0000003383</t>
  </si>
  <si>
    <t>000000056962</t>
  </si>
  <si>
    <t>20160303220000</t>
  </si>
  <si>
    <t>0000003384</t>
  </si>
  <si>
    <t>000000056963</t>
  </si>
  <si>
    <t>20160303230000</t>
  </si>
  <si>
    <t>0000003385</t>
  </si>
  <si>
    <t>000000056964</t>
  </si>
  <si>
    <t>20160304000000</t>
  </si>
  <si>
    <t>0000003386</t>
  </si>
  <si>
    <t>000000056965</t>
  </si>
  <si>
    <t>20160304010000</t>
  </si>
  <si>
    <t>0000003387</t>
  </si>
  <si>
    <t>000000056966</t>
  </si>
  <si>
    <t>20160304020000</t>
  </si>
  <si>
    <t>0000003388</t>
  </si>
  <si>
    <t>000000056967</t>
  </si>
  <si>
    <t>20160304030000</t>
  </si>
  <si>
    <t>0000003389</t>
  </si>
  <si>
    <t>000000056968</t>
  </si>
  <si>
    <t>20160304040000</t>
  </si>
  <si>
    <t>0000003390</t>
  </si>
  <si>
    <t>000000056969</t>
  </si>
  <si>
    <t>20160304050000</t>
  </si>
  <si>
    <t>0000003391</t>
  </si>
  <si>
    <t>000000056970</t>
  </si>
  <si>
    <t>20160304060000</t>
  </si>
  <si>
    <t>0000003392</t>
  </si>
  <si>
    <t>000000056971</t>
  </si>
  <si>
    <t>20160304070000</t>
  </si>
  <si>
    <t>0000003393</t>
  </si>
  <si>
    <t>000000056972</t>
  </si>
  <si>
    <t>20160304080000</t>
  </si>
  <si>
    <t>0000003394</t>
  </si>
  <si>
    <t>000000056973</t>
  </si>
  <si>
    <t>20160304090000</t>
  </si>
  <si>
    <t>0000003395</t>
  </si>
  <si>
    <t>000000056974</t>
  </si>
  <si>
    <t>20160304100000</t>
  </si>
  <si>
    <t>0000003396</t>
  </si>
  <si>
    <t>000000056975</t>
  </si>
  <si>
    <t>20160115070000</t>
  </si>
  <si>
    <t>0000003397</t>
  </si>
  <si>
    <t>000000056976</t>
  </si>
  <si>
    <t>20160115080000</t>
  </si>
  <si>
    <t>0000003398</t>
  </si>
  <si>
    <t>000000056977</t>
  </si>
  <si>
    <t>20160115090000</t>
  </si>
  <si>
    <t>0000003399</t>
  </si>
  <si>
    <t>000000056978</t>
  </si>
  <si>
    <t>20160115100000</t>
  </si>
  <si>
    <t>0000003400</t>
  </si>
  <si>
    <t>000000056979</t>
  </si>
  <si>
    <t>20160115110000</t>
  </si>
  <si>
    <t>0000003401</t>
  </si>
  <si>
    <t>000000056980</t>
  </si>
  <si>
    <t>20160115120000</t>
  </si>
  <si>
    <t>0000003402</t>
  </si>
  <si>
    <t>000000056981</t>
  </si>
  <si>
    <t>20160115130000</t>
  </si>
  <si>
    <t>0000003403</t>
  </si>
  <si>
    <t>000000056982</t>
  </si>
  <si>
    <t>20160115140000</t>
  </si>
  <si>
    <t>0000003404</t>
  </si>
  <si>
    <t>000000056983</t>
  </si>
  <si>
    <t>20160115150000</t>
  </si>
  <si>
    <t>0000003405</t>
  </si>
  <si>
    <t>000000056984</t>
  </si>
  <si>
    <t>20160115160000</t>
  </si>
  <si>
    <t>0000003406</t>
  </si>
  <si>
    <t>195</t>
  </si>
  <si>
    <t xml:space="preserve">     NRS00</t>
  </si>
  <si>
    <t xml:space="preserve">DMB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</si>
</sst>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7"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
    <xf numFmtId="0" fontId="0" fillId="0" borderId="0"/>
  </cellStyleXfs>
  <cellXfs count="51">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applyFill="1" applyBorder="1" applyAlignment="1">
      <alignment horizontal="center"/>
    </xf>
    <xf numFmtId="0" fontId="0" fillId="4" borderId="1" xfId="0" quotePrefix="1" applyFill="1" applyBorder="1" applyAlignment="1">
      <alignment horizontal="center"/>
    </xf>
    <xf numFmtId="0" fontId="2" fillId="4" borderId="1" xfId="0" quotePrefix="1" applyFont="1" applyFill="1" applyBorder="1" applyAlignment="1">
      <alignment horizontal="center"/>
    </xf>
    <xf numFmtId="0" fontId="0" fillId="4" borderId="0" xfId="0" applyFill="1" applyAlignment="1">
      <alignment horizontal="center"/>
    </xf>
    <xf numFmtId="0" fontId="0" fillId="4" borderId="0" xfId="0" applyFill="1"/>
    <xf numFmtId="0" fontId="0" fillId="4" borderId="0" xfId="0" quotePrefix="1" applyFill="1" applyAlignment="1">
      <alignment horizontal="center"/>
    </xf>
    <xf numFmtId="20" fontId="0" fillId="4" borderId="0" xfId="0" applyNumberFormat="1"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2" fontId="0" fillId="0" borderId="0" xfId="0" applyNumberFormat="1"/>
    <xf numFmtId="0" fontId="0" fillId="2" borderId="1" xfId="0" applyFill="1" applyBorder="1" applyAlignment="1">
      <alignment horizontal="center"/>
    </xf>
    <xf numFmtId="0" fontId="0" fillId="2" borderId="1" xfId="0"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C3" sqref="C3:C6"/>
    </sheetView>
  </sheetViews>
  <sheetFormatPr defaultRowHeight="15" x14ac:dyDescent="0.25"/>
  <cols>
    <col min="2" max="2" width="13.7109375" style="2" customWidth="1"/>
    <col min="3" max="3" width="12.42578125" customWidth="1"/>
    <col min="4" max="4" width="119.42578125" customWidth="1"/>
  </cols>
  <sheetData>
    <row r="2" spans="1:4" x14ac:dyDescent="0.25">
      <c r="A2" s="36" t="s">
        <v>66</v>
      </c>
      <c r="B2" s="37" t="s">
        <v>67</v>
      </c>
      <c r="C2" s="36" t="s">
        <v>68</v>
      </c>
      <c r="D2" s="36" t="s">
        <v>69</v>
      </c>
    </row>
    <row r="3" spans="1:4" x14ac:dyDescent="0.25">
      <c r="A3" s="29" t="s">
        <v>70</v>
      </c>
      <c r="B3" s="40">
        <v>41686</v>
      </c>
      <c r="C3" s="39" t="s">
        <v>71</v>
      </c>
      <c r="D3" s="39" t="s">
        <v>72</v>
      </c>
    </row>
    <row r="4" spans="1:4" x14ac:dyDescent="0.25">
      <c r="A4" s="29" t="s">
        <v>73</v>
      </c>
      <c r="B4" s="40">
        <v>41785</v>
      </c>
      <c r="C4" s="39" t="s">
        <v>71</v>
      </c>
      <c r="D4" s="39" t="s">
        <v>74</v>
      </c>
    </row>
    <row r="5" spans="1:4" x14ac:dyDescent="0.25">
      <c r="A5" s="29" t="s">
        <v>81</v>
      </c>
      <c r="B5" s="40">
        <v>41787</v>
      </c>
      <c r="C5" s="39" t="s">
        <v>71</v>
      </c>
      <c r="D5" s="39" t="s">
        <v>82</v>
      </c>
    </row>
    <row r="6" spans="1:4" x14ac:dyDescent="0.25">
      <c r="A6" s="29" t="s">
        <v>83</v>
      </c>
      <c r="B6" s="40">
        <v>41794</v>
      </c>
      <c r="C6" s="39" t="s">
        <v>71</v>
      </c>
      <c r="D6" s="39" t="s">
        <v>84</v>
      </c>
    </row>
    <row r="7" spans="1:4" x14ac:dyDescent="0.25">
      <c r="A7" s="39"/>
      <c r="B7" s="38"/>
      <c r="C7" s="39"/>
      <c r="D7" s="39"/>
    </row>
    <row r="8" spans="1:4" x14ac:dyDescent="0.25">
      <c r="A8" s="39"/>
      <c r="B8" s="38"/>
      <c r="C8" s="39"/>
      <c r="D8" s="39"/>
    </row>
    <row r="9" spans="1:4" x14ac:dyDescent="0.25">
      <c r="A9" s="39"/>
      <c r="B9" s="38"/>
      <c r="C9" s="39"/>
      <c r="D9" s="39"/>
    </row>
    <row r="10" spans="1:4" x14ac:dyDescent="0.25">
      <c r="A10" s="39"/>
      <c r="B10" s="38"/>
      <c r="C10" s="39"/>
      <c r="D10" s="39"/>
    </row>
    <row r="11" spans="1:4" x14ac:dyDescent="0.25">
      <c r="A11" s="39"/>
      <c r="B11" s="38"/>
      <c r="C11" s="39"/>
      <c r="D11" s="39"/>
    </row>
    <row r="12" spans="1:4" x14ac:dyDescent="0.25">
      <c r="A12" s="39"/>
      <c r="B12" s="38"/>
      <c r="C12" s="39"/>
      <c r="D12" s="39"/>
    </row>
    <row r="13" spans="1:4" x14ac:dyDescent="0.25">
      <c r="A13" s="39"/>
      <c r="B13" s="38"/>
      <c r="C13" s="39"/>
      <c r="D13" s="39"/>
    </row>
    <row r="14" spans="1:4" x14ac:dyDescent="0.25">
      <c r="A14" s="39"/>
      <c r="B14" s="38"/>
      <c r="C14" s="39"/>
      <c r="D14" s="39"/>
    </row>
    <row r="15" spans="1:4" x14ac:dyDescent="0.25">
      <c r="A15" s="39"/>
      <c r="B15" s="38"/>
      <c r="C15" s="39"/>
      <c r="D15" s="39"/>
    </row>
    <row r="16" spans="1:4" x14ac:dyDescent="0.25">
      <c r="A16" s="39"/>
      <c r="B16" s="38"/>
      <c r="C16" s="39"/>
      <c r="D16" s="39"/>
    </row>
    <row r="17" spans="1:4" x14ac:dyDescent="0.25">
      <c r="A17" s="39"/>
      <c r="B17" s="38"/>
      <c r="C17" s="39"/>
      <c r="D17" s="39"/>
    </row>
    <row r="18" spans="1:4" x14ac:dyDescent="0.25">
      <c r="A18" s="39"/>
      <c r="B18" s="38"/>
      <c r="C18" s="39"/>
      <c r="D18" s="39"/>
    </row>
    <row r="19" spans="1:4" x14ac:dyDescent="0.25">
      <c r="A19" s="39"/>
      <c r="B19" s="38"/>
      <c r="C19" s="39"/>
      <c r="D19" s="39"/>
    </row>
    <row r="20" spans="1:4" x14ac:dyDescent="0.25">
      <c r="A20" s="39"/>
      <c r="B20" s="38"/>
      <c r="C20" s="39"/>
      <c r="D20" s="39"/>
    </row>
    <row r="21" spans="1:4" x14ac:dyDescent="0.25">
      <c r="A21" s="39"/>
      <c r="B21" s="38"/>
      <c r="C21" s="39"/>
      <c r="D21" s="39"/>
    </row>
    <row r="22" spans="1:4" x14ac:dyDescent="0.25">
      <c r="A22" s="39"/>
      <c r="B22" s="38"/>
      <c r="C22" s="39"/>
      <c r="D22" s="39"/>
    </row>
    <row r="23" spans="1:4" x14ac:dyDescent="0.25">
      <c r="A23" s="39"/>
      <c r="B23" s="38"/>
      <c r="C23" s="39"/>
      <c r="D23" s="39"/>
    </row>
    <row r="24" spans="1:4" x14ac:dyDescent="0.25">
      <c r="A24" s="39"/>
      <c r="B24" s="38"/>
      <c r="C24" s="39"/>
      <c r="D24" s="39"/>
    </row>
    <row r="25" spans="1:4" x14ac:dyDescent="0.25">
      <c r="A25" s="39"/>
      <c r="B25" s="38"/>
      <c r="C25" s="39"/>
      <c r="D25" s="3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32" customWidth="1"/>
  </cols>
  <sheetData>
    <row r="1" spans="1:27" ht="30" x14ac:dyDescent="0.25">
      <c r="A1" s="1"/>
      <c r="B1" s="32" t="s">
        <v>57</v>
      </c>
      <c r="C1" s="1"/>
      <c r="I1" s="1"/>
      <c r="J1" s="1"/>
      <c r="R1" s="1"/>
      <c r="S1" s="1"/>
      <c r="T1" s="1"/>
      <c r="V1" s="1"/>
      <c r="W1" s="1"/>
      <c r="X1" s="1"/>
      <c r="Y1" s="1"/>
      <c r="AA1" s="1"/>
    </row>
    <row r="2" spans="1:27" ht="30" x14ac:dyDescent="0.25">
      <c r="A2" s="1"/>
      <c r="B2" s="32" t="s">
        <v>58</v>
      </c>
      <c r="C2" s="1"/>
      <c r="I2" s="1"/>
      <c r="J2" s="1"/>
      <c r="R2" s="1"/>
      <c r="S2" s="1"/>
      <c r="T2" s="1"/>
      <c r="V2" s="1"/>
      <c r="W2" s="1"/>
      <c r="X2" s="1"/>
      <c r="Y2" s="1"/>
      <c r="AA2" s="1"/>
    </row>
    <row r="3" spans="1:27" ht="45" x14ac:dyDescent="0.25">
      <c r="A3" s="1"/>
      <c r="B3" s="32" t="s">
        <v>63</v>
      </c>
      <c r="C3" s="1"/>
      <c r="I3" s="1"/>
      <c r="J3" s="1"/>
      <c r="R3" s="1"/>
      <c r="S3" s="1"/>
      <c r="T3" s="1"/>
      <c r="V3" s="1"/>
      <c r="W3" s="1"/>
      <c r="X3" s="1"/>
      <c r="Y3" s="1"/>
      <c r="AA3" s="1"/>
    </row>
    <row r="4" spans="1:27" ht="17.25" customHeight="1" x14ac:dyDescent="0.25">
      <c r="A4" s="1"/>
      <c r="B4" s="31" t="s">
        <v>64</v>
      </c>
      <c r="C4" s="1"/>
      <c r="I4" s="1"/>
      <c r="J4" s="1"/>
      <c r="R4" s="1"/>
      <c r="S4" s="1"/>
      <c r="T4" s="1"/>
      <c r="V4" s="1"/>
      <c r="W4" s="1"/>
      <c r="X4" s="1"/>
      <c r="Y4" s="1"/>
      <c r="AA4" s="1"/>
    </row>
    <row r="5" spans="1:27" ht="165" x14ac:dyDescent="0.25">
      <c r="A5" s="1"/>
      <c r="B5" s="31" t="s">
        <v>65</v>
      </c>
      <c r="C5" s="1"/>
      <c r="I5" s="1"/>
      <c r="J5" s="1"/>
      <c r="R5" s="1"/>
      <c r="S5" s="1"/>
      <c r="T5" s="1"/>
      <c r="V5" s="1"/>
      <c r="W5" s="1"/>
      <c r="X5" s="1"/>
      <c r="Y5" s="1"/>
      <c r="AA5" s="1"/>
    </row>
    <row r="6" spans="1:27" x14ac:dyDescent="0.25">
      <c r="A6" s="1"/>
      <c r="B6" s="31"/>
      <c r="C6" s="1"/>
      <c r="I6" s="1"/>
      <c r="J6" s="1"/>
      <c r="R6" s="1"/>
      <c r="S6" s="1"/>
      <c r="T6" s="1"/>
      <c r="V6" s="1"/>
      <c r="W6" s="1"/>
      <c r="X6" s="1"/>
      <c r="Y6" s="1"/>
      <c r="AA6" s="1"/>
    </row>
    <row r="7" spans="1:27" x14ac:dyDescent="0.25">
      <c r="A7" s="1"/>
      <c r="B7" s="31"/>
      <c r="C7" s="1"/>
      <c r="I7" s="1"/>
      <c r="J7" s="1"/>
      <c r="R7" s="1"/>
      <c r="S7" s="1"/>
      <c r="T7" s="1"/>
      <c r="V7" s="1"/>
      <c r="W7" s="1"/>
      <c r="X7" s="1"/>
      <c r="Y7" s="1"/>
      <c r="AA7" s="1"/>
    </row>
    <row r="8" spans="1:27" x14ac:dyDescent="0.25">
      <c r="A8" s="1"/>
      <c r="B8" s="31"/>
      <c r="C8" s="1"/>
      <c r="I8" s="1"/>
      <c r="J8" s="1"/>
      <c r="R8" s="1"/>
      <c r="S8" s="1"/>
      <c r="T8" s="1"/>
      <c r="V8" s="1"/>
      <c r="W8" s="1"/>
      <c r="X8" s="1"/>
      <c r="Y8" s="1"/>
      <c r="AA8" s="1"/>
    </row>
    <row r="9" spans="1:27" x14ac:dyDescent="0.25">
      <c r="A9" s="1"/>
      <c r="B9" s="31"/>
      <c r="C9" s="1"/>
      <c r="I9" s="1"/>
      <c r="J9" s="1"/>
      <c r="R9" s="1"/>
      <c r="S9" s="1"/>
      <c r="T9" s="1"/>
      <c r="V9" s="1"/>
      <c r="W9" s="1"/>
      <c r="X9" s="1"/>
      <c r="Y9" s="1"/>
      <c r="AA9" s="1"/>
    </row>
    <row r="10" spans="1:27" x14ac:dyDescent="0.25">
      <c r="A10" s="1"/>
      <c r="B10" s="31"/>
      <c r="C10" s="1"/>
      <c r="I10" s="1"/>
      <c r="J10" s="1"/>
      <c r="R10" s="1"/>
      <c r="S10" s="1"/>
      <c r="T10" s="1"/>
      <c r="V10" s="1"/>
      <c r="W10" s="1"/>
      <c r="X10" s="1"/>
      <c r="Y10" s="1"/>
      <c r="AA10" s="1"/>
    </row>
    <row r="11" spans="1:27" x14ac:dyDescent="0.25">
      <c r="A11" s="1"/>
      <c r="B11" s="31"/>
      <c r="C11" s="1"/>
      <c r="I11" s="1"/>
      <c r="J11" s="1"/>
      <c r="R11" s="1"/>
      <c r="S11" s="1"/>
      <c r="T11" s="1"/>
      <c r="V11" s="1"/>
      <c r="W11" s="1"/>
      <c r="X11" s="1"/>
      <c r="Y11" s="1"/>
      <c r="AA11" s="1"/>
    </row>
    <row r="12" spans="1:27" x14ac:dyDescent="0.25">
      <c r="A12" s="1"/>
      <c r="B12" s="31"/>
      <c r="C12" s="1"/>
      <c r="I12" s="1"/>
      <c r="J12" s="1"/>
      <c r="R12" s="1"/>
      <c r="S12" s="1"/>
      <c r="T12" s="1"/>
      <c r="V12" s="1"/>
      <c r="W12" s="1"/>
      <c r="X12" s="1"/>
      <c r="Y12" s="1"/>
      <c r="AA12" s="1"/>
    </row>
    <row r="13" spans="1:27" x14ac:dyDescent="0.25">
      <c r="A13" s="1"/>
      <c r="B13" s="31"/>
      <c r="C13" s="1"/>
      <c r="I13" s="1"/>
      <c r="J13" s="1"/>
      <c r="R13" s="1"/>
      <c r="S13" s="1"/>
      <c r="T13" s="1"/>
      <c r="V13" s="1"/>
      <c r="W13" s="1"/>
      <c r="X13" s="1"/>
      <c r="Y13" s="1"/>
      <c r="AA13" s="1"/>
    </row>
    <row r="14" spans="1:27" x14ac:dyDescent="0.25">
      <c r="A14" s="1"/>
      <c r="B14" s="31"/>
      <c r="C14" s="1"/>
      <c r="I14" s="1"/>
      <c r="J14" s="1"/>
      <c r="R14" s="1"/>
      <c r="S14" s="1"/>
      <c r="T14" s="1"/>
      <c r="V14" s="1"/>
      <c r="W14" s="1"/>
      <c r="X14" s="1"/>
      <c r="Y14" s="1"/>
      <c r="AA14" s="1"/>
    </row>
    <row r="15" spans="1:27" x14ac:dyDescent="0.25">
      <c r="A15" s="1"/>
      <c r="B15" s="31"/>
      <c r="C15" s="1"/>
      <c r="I15" s="1"/>
      <c r="J15" s="1"/>
      <c r="R15" s="1"/>
      <c r="S15" s="1"/>
      <c r="T15" s="1"/>
      <c r="V15" s="1"/>
      <c r="W15" s="1"/>
      <c r="X15" s="1"/>
      <c r="Y15" s="1"/>
      <c r="AA15" s="1"/>
    </row>
    <row r="16" spans="1:27" x14ac:dyDescent="0.25">
      <c r="A16" s="1"/>
      <c r="B16" s="31"/>
      <c r="C16" s="1"/>
      <c r="I16" s="1"/>
      <c r="J16" s="1"/>
      <c r="R16" s="1"/>
      <c r="S16" s="1"/>
      <c r="T16" s="1"/>
      <c r="V16" s="1"/>
      <c r="W16" s="1"/>
      <c r="X16" s="1"/>
      <c r="Y16" s="1"/>
      <c r="AA16" s="1"/>
    </row>
    <row r="17" spans="1:27" x14ac:dyDescent="0.25">
      <c r="A17" s="1"/>
      <c r="B17" s="31"/>
      <c r="C17" s="1"/>
      <c r="I17" s="1"/>
      <c r="J17" s="1"/>
      <c r="R17" s="1"/>
      <c r="S17" s="1"/>
      <c r="T17" s="1"/>
      <c r="V17" s="1"/>
      <c r="W17" s="1"/>
      <c r="X17" s="1"/>
      <c r="Y17" s="1"/>
      <c r="AA17" s="1"/>
    </row>
    <row r="18" spans="1:27" x14ac:dyDescent="0.25">
      <c r="A18" s="1"/>
      <c r="B18" s="31"/>
      <c r="C18" s="1"/>
      <c r="I18" s="1"/>
      <c r="J18" s="1"/>
      <c r="R18" s="1"/>
      <c r="S18" s="1"/>
      <c r="T18" s="1"/>
      <c r="V18" s="1"/>
      <c r="W18" s="1"/>
      <c r="X18" s="1"/>
      <c r="Y18" s="1"/>
      <c r="AA18" s="1"/>
    </row>
    <row r="19" spans="1:27" x14ac:dyDescent="0.25">
      <c r="A19" s="1"/>
      <c r="B19" s="31"/>
      <c r="C19" s="1"/>
      <c r="I19" s="1"/>
      <c r="J19" s="1"/>
      <c r="R19" s="1"/>
      <c r="S19" s="1"/>
      <c r="T19" s="1"/>
      <c r="V19" s="1"/>
      <c r="W19" s="1"/>
      <c r="X19" s="1"/>
      <c r="Y19" s="1"/>
      <c r="AA19" s="1"/>
    </row>
    <row r="20" spans="1:27" x14ac:dyDescent="0.25">
      <c r="A20" s="1"/>
      <c r="B20" s="31"/>
      <c r="C20" s="1"/>
      <c r="I20" s="1"/>
      <c r="J20" s="1"/>
      <c r="R20" s="1"/>
      <c r="S20" s="1"/>
      <c r="T20" s="1"/>
      <c r="V20" s="1"/>
      <c r="W20" s="1"/>
      <c r="X20" s="1"/>
      <c r="Y20" s="1"/>
      <c r="AA20" s="1"/>
    </row>
    <row r="21" spans="1:27" x14ac:dyDescent="0.25">
      <c r="A21" s="1"/>
      <c r="B21" s="31"/>
      <c r="C21" s="1"/>
      <c r="I21" s="1"/>
      <c r="J21" s="1"/>
      <c r="R21" s="1"/>
      <c r="S21" s="1"/>
      <c r="T21" s="1"/>
      <c r="V21" s="1"/>
      <c r="W21" s="1"/>
      <c r="X21" s="1"/>
      <c r="Y21" s="1"/>
      <c r="AA21" s="1"/>
    </row>
    <row r="22" spans="1:27" x14ac:dyDescent="0.25">
      <c r="A22" s="1"/>
      <c r="B22" s="31"/>
      <c r="C22" s="1"/>
      <c r="I22" s="1"/>
      <c r="J22" s="1"/>
      <c r="R22" s="1"/>
      <c r="S22" s="1"/>
      <c r="T22" s="1"/>
      <c r="V22" s="1"/>
      <c r="W22" s="1"/>
      <c r="X22" s="1"/>
      <c r="Y22" s="1"/>
      <c r="AA22" s="1"/>
    </row>
    <row r="23" spans="1:27" x14ac:dyDescent="0.25">
      <c r="A23" s="1"/>
      <c r="B23" s="31"/>
      <c r="C23" s="1"/>
      <c r="I23" s="1"/>
      <c r="J23" s="1"/>
      <c r="R23" s="1"/>
      <c r="S23" s="1"/>
      <c r="T23" s="1"/>
      <c r="V23" s="1"/>
      <c r="W23" s="1"/>
      <c r="X23" s="1"/>
      <c r="Y23" s="1"/>
      <c r="AA23" s="1"/>
    </row>
    <row r="24" spans="1:27" x14ac:dyDescent="0.25">
      <c r="A24" s="1"/>
      <c r="B24" s="31"/>
      <c r="C24" s="1"/>
      <c r="I24" s="1"/>
      <c r="J24" s="1"/>
      <c r="R24" s="1"/>
      <c r="S24" s="1"/>
      <c r="T24" s="1"/>
      <c r="V24" s="1"/>
      <c r="W24" s="1"/>
      <c r="X24" s="1"/>
      <c r="Y24" s="1"/>
      <c r="AA24" s="1"/>
    </row>
    <row r="25" spans="1:27" x14ac:dyDescent="0.25">
      <c r="A25" s="1"/>
      <c r="B25" s="31"/>
      <c r="C25" s="1"/>
      <c r="I25" s="1"/>
      <c r="J25" s="1"/>
      <c r="R25" s="1"/>
      <c r="S25" s="1"/>
      <c r="T25" s="1"/>
      <c r="V25" s="1"/>
      <c r="W25" s="1"/>
      <c r="X25" s="1"/>
      <c r="Y25" s="1"/>
      <c r="AA25" s="1"/>
    </row>
    <row r="26" spans="1:27" x14ac:dyDescent="0.25">
      <c r="A26" s="1"/>
      <c r="B26" s="31"/>
      <c r="C26" s="1"/>
      <c r="I26" s="1"/>
      <c r="J26" s="1"/>
      <c r="R26" s="1"/>
      <c r="S26" s="1"/>
      <c r="T26" s="1"/>
      <c r="V26" s="1"/>
      <c r="W26" s="1"/>
      <c r="X26" s="1"/>
      <c r="Y26" s="1"/>
      <c r="AA26" s="1"/>
    </row>
    <row r="27" spans="1:27" x14ac:dyDescent="0.25">
      <c r="A27" s="1"/>
      <c r="B27" s="31"/>
      <c r="C27" s="1"/>
      <c r="I27" s="1"/>
      <c r="J27" s="1"/>
      <c r="R27" s="1"/>
      <c r="S27" s="1"/>
      <c r="T27" s="1"/>
      <c r="V27" s="1"/>
      <c r="W27" s="1"/>
      <c r="X27" s="1"/>
      <c r="Y27" s="1"/>
      <c r="AA27" s="1"/>
    </row>
    <row r="28" spans="1:27" x14ac:dyDescent="0.25">
      <c r="A28" s="1"/>
      <c r="B28" s="31"/>
      <c r="C28" s="1"/>
      <c r="I28" s="1"/>
      <c r="J28" s="1"/>
      <c r="R28" s="1"/>
      <c r="S28" s="1"/>
      <c r="T28" s="1"/>
      <c r="V28" s="1"/>
      <c r="W28" s="1"/>
      <c r="X28" s="1"/>
      <c r="Y28" s="1"/>
      <c r="AA28" s="1"/>
    </row>
    <row r="29" spans="1:27" x14ac:dyDescent="0.25">
      <c r="A29" s="1"/>
      <c r="B29" s="31"/>
      <c r="C29" s="1"/>
      <c r="I29" s="1"/>
      <c r="J29" s="1"/>
      <c r="R29" s="1"/>
      <c r="S29" s="1"/>
      <c r="T29" s="1"/>
      <c r="V29" s="1"/>
      <c r="W29" s="1"/>
      <c r="X29" s="1"/>
      <c r="Y29" s="1"/>
      <c r="AA29" s="1"/>
    </row>
    <row r="30" spans="1:27" x14ac:dyDescent="0.25">
      <c r="A30" s="1"/>
      <c r="B30" s="31"/>
      <c r="C30" s="1"/>
      <c r="I30" s="1"/>
      <c r="J30" s="1"/>
      <c r="R30" s="1"/>
      <c r="S30" s="1"/>
      <c r="T30" s="1"/>
      <c r="V30" s="1"/>
      <c r="W30" s="1"/>
      <c r="X30" s="1"/>
      <c r="Y30" s="1"/>
      <c r="AA30" s="1"/>
    </row>
    <row r="31" spans="1:27" x14ac:dyDescent="0.25">
      <c r="A31" s="1"/>
      <c r="B31" s="31"/>
      <c r="C31" s="1"/>
      <c r="I31" s="1"/>
      <c r="J31" s="1"/>
      <c r="R31" s="1"/>
      <c r="S31" s="1"/>
      <c r="T31" s="1"/>
      <c r="V31" s="1"/>
      <c r="W31" s="1"/>
      <c r="X31" s="1"/>
      <c r="Y31" s="1"/>
      <c r="AA31" s="1"/>
    </row>
    <row r="32" spans="1:27" x14ac:dyDescent="0.25">
      <c r="A32" s="1"/>
      <c r="B32" s="31"/>
      <c r="C32" s="1"/>
      <c r="I32" s="1"/>
      <c r="J32" s="1"/>
      <c r="R32" s="1"/>
      <c r="S32" s="1"/>
      <c r="T32" s="1"/>
      <c r="V32" s="1"/>
      <c r="W32" s="1"/>
      <c r="X32" s="1"/>
      <c r="Y32" s="1"/>
      <c r="AA32" s="1"/>
    </row>
    <row r="33" spans="1:27" x14ac:dyDescent="0.25">
      <c r="A33" s="1"/>
      <c r="B33" s="31"/>
      <c r="C33" s="1"/>
      <c r="I33" s="1"/>
      <c r="J33" s="1"/>
      <c r="R33" s="1"/>
      <c r="S33" s="1"/>
      <c r="T33" s="1"/>
      <c r="V33" s="1"/>
      <c r="W33" s="1"/>
      <c r="X33" s="1"/>
      <c r="Y33" s="1"/>
      <c r="AA33" s="1"/>
    </row>
    <row r="34" spans="1:27" x14ac:dyDescent="0.25">
      <c r="A34" s="1"/>
      <c r="B34" s="31"/>
      <c r="C34" s="1"/>
      <c r="I34" s="1"/>
      <c r="J34" s="1"/>
      <c r="R34" s="1"/>
      <c r="S34" s="1"/>
      <c r="T34" s="1"/>
      <c r="V34" s="1"/>
      <c r="W34" s="1"/>
      <c r="X34" s="1"/>
      <c r="Y34" s="1"/>
      <c r="AA34" s="1"/>
    </row>
    <row r="35" spans="1:27" x14ac:dyDescent="0.25">
      <c r="A35" s="1"/>
      <c r="B35" s="31"/>
      <c r="C35" s="1"/>
      <c r="I35" s="1"/>
      <c r="J35" s="1"/>
      <c r="R35" s="1"/>
      <c r="S35" s="1"/>
      <c r="T35" s="1"/>
      <c r="V35" s="1"/>
      <c r="W35" s="1"/>
      <c r="X35" s="1"/>
      <c r="Y35" s="1"/>
      <c r="AA35" s="1"/>
    </row>
    <row r="36" spans="1:27" x14ac:dyDescent="0.25">
      <c r="A36" s="1"/>
      <c r="B36" s="31"/>
      <c r="C36" s="1"/>
      <c r="I36" s="1"/>
      <c r="J36" s="1"/>
      <c r="R36" s="1"/>
      <c r="S36" s="1"/>
      <c r="T36" s="1"/>
      <c r="V36" s="1"/>
      <c r="W36" s="1"/>
      <c r="X36" s="1"/>
      <c r="Y36" s="1"/>
      <c r="AA36" s="1"/>
    </row>
    <row r="37" spans="1:27" x14ac:dyDescent="0.25">
      <c r="A37" s="1"/>
      <c r="B37" s="31"/>
      <c r="C37" s="1"/>
      <c r="I37" s="1"/>
      <c r="J37" s="1"/>
      <c r="R37" s="1"/>
      <c r="S37" s="1"/>
      <c r="T37" s="1"/>
      <c r="V37" s="1"/>
      <c r="W37" s="1"/>
      <c r="X37" s="1"/>
      <c r="Y37" s="1"/>
      <c r="AA37" s="1"/>
    </row>
    <row r="38" spans="1:27" x14ac:dyDescent="0.25">
      <c r="A38" s="1"/>
      <c r="B38" s="31"/>
      <c r="C38" s="1"/>
      <c r="I38" s="1"/>
      <c r="J38" s="1"/>
      <c r="R38" s="1"/>
      <c r="S38" s="1"/>
      <c r="T38" s="1"/>
      <c r="V38" s="1"/>
      <c r="W38" s="1"/>
      <c r="X38" s="1"/>
      <c r="Y38" s="1"/>
      <c r="AA38" s="1"/>
    </row>
    <row r="39" spans="1:27" x14ac:dyDescent="0.25">
      <c r="A39" s="1"/>
      <c r="B39" s="31"/>
      <c r="C39" s="1"/>
      <c r="I39" s="1"/>
      <c r="J39" s="1"/>
      <c r="R39" s="1"/>
      <c r="S39" s="1"/>
      <c r="T39" s="1"/>
      <c r="V39" s="1"/>
      <c r="W39" s="1"/>
      <c r="X39" s="1"/>
      <c r="Y39" s="1"/>
      <c r="AA39" s="1"/>
    </row>
    <row r="40" spans="1:27" x14ac:dyDescent="0.25">
      <c r="A40" s="1"/>
      <c r="B40" s="31"/>
      <c r="C40" s="1"/>
      <c r="I40" s="1"/>
      <c r="J40" s="1"/>
      <c r="R40" s="1"/>
      <c r="S40" s="1"/>
      <c r="T40" s="1"/>
      <c r="V40" s="1"/>
      <c r="W40" s="1"/>
      <c r="X40" s="1"/>
      <c r="Y40" s="1"/>
      <c r="AA40" s="1"/>
    </row>
    <row r="41" spans="1:27" x14ac:dyDescent="0.25">
      <c r="A41" s="1"/>
      <c r="B41" s="31"/>
      <c r="C41" s="1"/>
      <c r="I41" s="1"/>
      <c r="J41" s="1"/>
      <c r="R41" s="1"/>
      <c r="S41" s="1"/>
      <c r="T41" s="1"/>
      <c r="V41" s="1"/>
      <c r="W41" s="1"/>
      <c r="X41" s="1"/>
      <c r="Y41" s="1"/>
      <c r="AA41" s="1"/>
    </row>
    <row r="42" spans="1:27" x14ac:dyDescent="0.25">
      <c r="A42" s="1"/>
      <c r="B42" s="31"/>
      <c r="C42" s="1"/>
      <c r="I42" s="1"/>
      <c r="J42" s="1"/>
      <c r="R42" s="1"/>
      <c r="S42" s="1"/>
      <c r="T42" s="1"/>
      <c r="V42" s="1"/>
      <c r="W42" s="1"/>
      <c r="X42" s="1"/>
      <c r="Y42" s="1"/>
      <c r="AA42" s="1"/>
    </row>
    <row r="43" spans="1:27" x14ac:dyDescent="0.25">
      <c r="A43" s="1"/>
      <c r="B43" s="31"/>
      <c r="C43" s="1"/>
      <c r="I43" s="1"/>
      <c r="J43" s="1"/>
      <c r="R43" s="1"/>
      <c r="S43" s="1"/>
      <c r="T43" s="1"/>
      <c r="V43" s="1"/>
      <c r="W43" s="1"/>
      <c r="X43" s="1"/>
      <c r="Y43" s="1"/>
      <c r="AA43" s="1"/>
    </row>
    <row r="44" spans="1:27" x14ac:dyDescent="0.25">
      <c r="A44" s="1"/>
      <c r="B44" s="31"/>
      <c r="C44" s="1"/>
      <c r="I44" s="1"/>
      <c r="J44" s="1"/>
      <c r="R44" s="1"/>
      <c r="S44" s="1"/>
      <c r="T44" s="1"/>
      <c r="V44" s="1"/>
      <c r="W44" s="1"/>
      <c r="X44" s="1"/>
      <c r="Y44" s="1"/>
      <c r="AA44" s="1"/>
    </row>
    <row r="45" spans="1:27" x14ac:dyDescent="0.25">
      <c r="A45" s="1"/>
      <c r="B45" s="31"/>
      <c r="C45" s="1"/>
      <c r="I45" s="1"/>
      <c r="J45" s="1"/>
      <c r="R45" s="1"/>
      <c r="S45" s="1"/>
      <c r="T45" s="1"/>
      <c r="V45" s="1"/>
      <c r="W45" s="1"/>
      <c r="X45" s="1"/>
      <c r="Y45" s="1"/>
      <c r="AA45" s="1"/>
    </row>
    <row r="46" spans="1:27" x14ac:dyDescent="0.25">
      <c r="A46" s="1"/>
      <c r="B46" s="31"/>
      <c r="C46" s="1"/>
      <c r="I46" s="1"/>
      <c r="J46" s="1"/>
      <c r="R46" s="1"/>
      <c r="S46" s="1"/>
      <c r="T46" s="1"/>
      <c r="V46" s="1"/>
      <c r="W46" s="1"/>
      <c r="X46" s="1"/>
      <c r="Y46" s="1"/>
      <c r="AA46" s="1"/>
    </row>
    <row r="47" spans="1:27" x14ac:dyDescent="0.25">
      <c r="A47" s="1"/>
      <c r="B47" s="31"/>
      <c r="C47" s="1"/>
      <c r="I47" s="1"/>
      <c r="J47" s="1"/>
      <c r="R47" s="1"/>
      <c r="S47" s="1"/>
      <c r="T47" s="1"/>
      <c r="V47" s="1"/>
      <c r="W47" s="1"/>
      <c r="X47" s="1"/>
      <c r="Y47" s="1"/>
      <c r="AA47" s="1"/>
    </row>
    <row r="48" spans="1:27" x14ac:dyDescent="0.25">
      <c r="A48" s="1"/>
      <c r="B48" s="31"/>
      <c r="C48" s="1"/>
      <c r="I48" s="1"/>
      <c r="J48" s="1"/>
      <c r="R48" s="1"/>
      <c r="S48" s="1"/>
      <c r="T48" s="1"/>
      <c r="V48" s="1"/>
      <c r="W48" s="1"/>
      <c r="X48" s="1"/>
      <c r="Y48" s="1"/>
      <c r="AA48" s="1"/>
    </row>
    <row r="49" spans="1:27" x14ac:dyDescent="0.25">
      <c r="A49" s="1"/>
      <c r="B49" s="31"/>
      <c r="C49" s="1"/>
      <c r="I49" s="1"/>
      <c r="J49" s="1"/>
      <c r="R49" s="1"/>
      <c r="S49" s="1"/>
      <c r="T49" s="1"/>
      <c r="V49" s="1"/>
      <c r="W49" s="1"/>
      <c r="X49" s="1"/>
      <c r="Y49" s="1"/>
      <c r="AA49" s="1"/>
    </row>
    <row r="50" spans="1:27" x14ac:dyDescent="0.25">
      <c r="A50" s="1"/>
      <c r="B50" s="31"/>
      <c r="C50" s="1"/>
      <c r="I50" s="1"/>
      <c r="J50" s="1"/>
      <c r="R50" s="1"/>
      <c r="S50" s="1"/>
      <c r="T50" s="1"/>
      <c r="V50" s="1"/>
      <c r="W50" s="1"/>
      <c r="X50" s="1"/>
      <c r="Y50" s="1"/>
      <c r="AA50" s="1"/>
    </row>
    <row r="51" spans="1:27" x14ac:dyDescent="0.25">
      <c r="A51" s="1"/>
      <c r="B51" s="31"/>
      <c r="C51" s="1"/>
      <c r="I51" s="1"/>
      <c r="J51" s="1"/>
      <c r="R51" s="1"/>
      <c r="S51" s="1"/>
      <c r="T51" s="1"/>
      <c r="V51" s="1"/>
      <c r="W51" s="1"/>
      <c r="X51" s="1"/>
      <c r="Y51" s="1"/>
      <c r="AA51" s="1"/>
    </row>
    <row r="52" spans="1:27" x14ac:dyDescent="0.25">
      <c r="A52" s="1"/>
      <c r="B52" s="31"/>
      <c r="C52" s="1"/>
      <c r="I52" s="1"/>
      <c r="J52" s="1"/>
      <c r="R52" s="1"/>
      <c r="S52" s="1"/>
      <c r="T52" s="1"/>
      <c r="V52" s="1"/>
      <c r="W52" s="1"/>
      <c r="X52" s="1"/>
      <c r="Y52" s="1"/>
      <c r="AA52" s="1"/>
    </row>
    <row r="53" spans="1:27" x14ac:dyDescent="0.25">
      <c r="A53" s="1"/>
      <c r="B53" s="31"/>
      <c r="C53" s="1"/>
      <c r="I53" s="1"/>
      <c r="J53" s="1"/>
      <c r="R53" s="1"/>
      <c r="S53" s="1"/>
      <c r="T53" s="1"/>
      <c r="V53" s="1"/>
      <c r="W53" s="1"/>
      <c r="X53" s="1"/>
      <c r="Y53" s="1"/>
      <c r="AA53" s="1"/>
    </row>
    <row r="54" spans="1:27" x14ac:dyDescent="0.25">
      <c r="A54" s="1"/>
      <c r="B54" s="31"/>
      <c r="C54" s="1"/>
      <c r="I54" s="1"/>
      <c r="J54" s="1"/>
      <c r="R54" s="1"/>
      <c r="S54" s="1"/>
      <c r="T54" s="1"/>
      <c r="V54" s="1"/>
      <c r="W54" s="1"/>
      <c r="X54" s="1"/>
      <c r="Y54" s="1"/>
      <c r="AA54" s="1"/>
    </row>
    <row r="55" spans="1:27" x14ac:dyDescent="0.25">
      <c r="A55" s="1"/>
      <c r="B55" s="31"/>
      <c r="C55" s="1"/>
      <c r="I55" s="1"/>
      <c r="J55" s="1"/>
      <c r="R55" s="1"/>
      <c r="S55" s="1"/>
      <c r="T55" s="1"/>
      <c r="V55" s="1"/>
      <c r="W55" s="1"/>
      <c r="X55" s="1"/>
      <c r="Y55" s="1"/>
      <c r="AA55" s="1"/>
    </row>
    <row r="56" spans="1:27" x14ac:dyDescent="0.25">
      <c r="A56" s="1"/>
      <c r="B56" s="31"/>
      <c r="C56" s="1"/>
      <c r="I56" s="1"/>
      <c r="J56" s="1"/>
      <c r="R56" s="1"/>
      <c r="S56" s="1"/>
      <c r="T56" s="1"/>
      <c r="V56" s="1"/>
      <c r="W56" s="1"/>
      <c r="X56" s="1"/>
      <c r="Y56" s="1"/>
      <c r="AA56" s="1"/>
    </row>
    <row r="57" spans="1:27" x14ac:dyDescent="0.25">
      <c r="A57" s="1"/>
      <c r="B57" s="31"/>
      <c r="C57" s="1"/>
      <c r="I57" s="1"/>
      <c r="J57" s="1"/>
      <c r="R57" s="1"/>
      <c r="S57" s="1"/>
      <c r="T57" s="1"/>
      <c r="V57" s="1"/>
      <c r="W57" s="1"/>
      <c r="X57" s="1"/>
      <c r="Y57" s="1"/>
      <c r="AA57" s="1"/>
    </row>
    <row r="58" spans="1:27" x14ac:dyDescent="0.25">
      <c r="A58" s="1"/>
      <c r="B58" s="31"/>
      <c r="C58" s="1"/>
      <c r="I58" s="1"/>
      <c r="J58" s="1"/>
      <c r="R58" s="1"/>
      <c r="S58" s="1"/>
      <c r="T58" s="1"/>
      <c r="V58" s="1"/>
      <c r="W58" s="1"/>
      <c r="X58" s="1"/>
      <c r="Y58" s="1"/>
      <c r="AA58" s="1"/>
    </row>
    <row r="59" spans="1:27" x14ac:dyDescent="0.25">
      <c r="A59" s="1"/>
      <c r="B59" s="31"/>
      <c r="C59" s="1"/>
      <c r="I59" s="1"/>
      <c r="J59" s="1"/>
      <c r="R59" s="1"/>
      <c r="S59" s="1"/>
      <c r="T59" s="1"/>
      <c r="V59" s="1"/>
      <c r="W59" s="1"/>
      <c r="X59" s="1"/>
      <c r="Y59" s="1"/>
      <c r="AA59" s="1"/>
    </row>
    <row r="60" spans="1:27" x14ac:dyDescent="0.25">
      <c r="A60" s="1"/>
      <c r="B60" s="31"/>
      <c r="C60" s="1"/>
      <c r="I60" s="1"/>
      <c r="J60" s="1"/>
      <c r="R60" s="1"/>
      <c r="S60" s="1"/>
      <c r="T60" s="1"/>
      <c r="V60" s="1"/>
      <c r="W60" s="1"/>
      <c r="X60" s="1"/>
      <c r="Y60" s="1"/>
      <c r="AA60" s="1"/>
    </row>
    <row r="61" spans="1:27" x14ac:dyDescent="0.25">
      <c r="A61" s="1"/>
      <c r="B61" s="31"/>
      <c r="C61" s="1"/>
      <c r="I61" s="1"/>
      <c r="J61" s="1"/>
      <c r="R61" s="1"/>
      <c r="S61" s="1"/>
      <c r="T61" s="1"/>
      <c r="V61" s="1"/>
      <c r="W61" s="1"/>
      <c r="X61" s="1"/>
      <c r="Y61" s="1"/>
      <c r="AA61" s="1"/>
    </row>
    <row r="62" spans="1:27" x14ac:dyDescent="0.25">
      <c r="A62" s="1"/>
      <c r="B62" s="31"/>
      <c r="C62" s="1"/>
      <c r="I62" s="1"/>
      <c r="J62" s="1"/>
      <c r="R62" s="1"/>
      <c r="S62" s="1"/>
      <c r="T62" s="1"/>
      <c r="V62" s="1"/>
      <c r="W62" s="1"/>
      <c r="X62" s="1"/>
      <c r="Y62" s="1"/>
      <c r="AA62" s="1"/>
    </row>
    <row r="63" spans="1:27" x14ac:dyDescent="0.25">
      <c r="A63" s="1"/>
      <c r="B63" s="31"/>
      <c r="C63" s="1"/>
      <c r="I63" s="1"/>
      <c r="J63" s="1"/>
      <c r="R63" s="1"/>
      <c r="S63" s="1"/>
      <c r="T63" s="1"/>
      <c r="V63" s="1"/>
      <c r="W63" s="1"/>
      <c r="X63" s="1"/>
      <c r="Y63" s="1"/>
      <c r="AA63" s="1"/>
    </row>
    <row r="64" spans="1:27" x14ac:dyDescent="0.25">
      <c r="A64" s="1"/>
      <c r="B64" s="31"/>
      <c r="C64" s="1"/>
      <c r="I64" s="1"/>
      <c r="J64" s="1"/>
      <c r="R64" s="1"/>
      <c r="S64" s="1"/>
      <c r="T64" s="1"/>
      <c r="V64" s="1"/>
      <c r="W64" s="1"/>
      <c r="X64" s="1"/>
      <c r="Y64" s="1"/>
      <c r="AA64" s="1"/>
    </row>
    <row r="65" spans="1:27" x14ac:dyDescent="0.25">
      <c r="A65" s="1"/>
      <c r="B65" s="31"/>
      <c r="C65" s="1"/>
      <c r="I65" s="1"/>
      <c r="J65" s="1"/>
      <c r="R65" s="1"/>
      <c r="S65" s="1"/>
      <c r="T65" s="1"/>
      <c r="V65" s="1"/>
      <c r="W65" s="1"/>
      <c r="X65" s="1"/>
      <c r="Y65" s="1"/>
      <c r="AA65" s="1"/>
    </row>
    <row r="66" spans="1:27" x14ac:dyDescent="0.25">
      <c r="A66" s="1"/>
      <c r="B66" s="31"/>
      <c r="C66" s="1"/>
      <c r="I66" s="1"/>
      <c r="J66" s="1"/>
      <c r="R66" s="1"/>
      <c r="S66" s="1"/>
      <c r="T66" s="1"/>
      <c r="V66" s="1"/>
      <c r="W66" s="1"/>
      <c r="X66" s="1"/>
      <c r="Y66" s="1"/>
      <c r="AA66" s="1"/>
    </row>
    <row r="67" spans="1:27" x14ac:dyDescent="0.25">
      <c r="A67" s="1"/>
      <c r="B67" s="31"/>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A82"/>
  <sheetViews>
    <sheetView tabSelected="1" topLeftCell="I1" workbookViewId="0">
      <selection activeCell="L11" sqref="L11"/>
    </sheetView>
  </sheetViews>
  <sheetFormatPr defaultRowHeight="15" x14ac:dyDescent="0.25"/>
  <cols>
    <col min="2" max="2" width="41.42578125" style="2" customWidth="1"/>
    <col min="3" max="3" width="16.28515625" style="3" customWidth="1"/>
    <col min="4" max="4" width="27.140625" style="2" customWidth="1"/>
    <col min="5" max="5" width="14.570312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17.140625" style="3" customWidth="1"/>
    <col min="15" max="15" width="26" style="3" customWidth="1"/>
    <col min="16" max="20" width="19.42578125" style="3" customWidth="1"/>
    <col min="21" max="29" width="23.42578125" style="3" customWidth="1"/>
    <col min="30" max="30" width="18.28515625" style="3" customWidth="1"/>
    <col min="31" max="31" width="17.28515625" style="3" customWidth="1"/>
    <col min="32" max="32" width="20.28515625" style="3" customWidth="1"/>
    <col min="33" max="33" width="9.140625" style="3" hidden="1" customWidth="1"/>
    <col min="34" max="34" width="6.42578125" style="3" hidden="1" customWidth="1"/>
    <col min="35" max="35" width="6.85546875" style="3" hidden="1" customWidth="1"/>
    <col min="36" max="36" width="6.140625" style="3" hidden="1" customWidth="1"/>
    <col min="37" max="37" width="17.85546875" style="3" hidden="1" customWidth="1"/>
    <col min="38" max="38" width="14.7109375" style="3" hidden="1" customWidth="1"/>
    <col min="39" max="69" width="9.140625" hidden="1" customWidth="1"/>
    <col min="70" max="70" width="9.140625" customWidth="1"/>
    <col min="71" max="71" width="11.140625" customWidth="1"/>
    <col min="72" max="72" width="12.28515625" customWidth="1"/>
    <col min="73" max="73" width="12.42578125" customWidth="1"/>
    <col min="75" max="75" width="11.85546875" customWidth="1"/>
    <col min="76" max="76" width="13.7109375" customWidth="1"/>
    <col min="79" max="79" width="9.7109375" bestFit="1" customWidth="1"/>
  </cols>
  <sheetData>
    <row r="1" spans="1:79" x14ac:dyDescent="0.25">
      <c r="B1" s="49" t="s">
        <v>10</v>
      </c>
      <c r="C1" s="49"/>
      <c r="D1" s="49"/>
      <c r="E1" s="49"/>
      <c r="F1" s="50"/>
      <c r="G1" s="7"/>
      <c r="H1" s="7"/>
      <c r="K1" s="8" t="s">
        <v>14</v>
      </c>
      <c r="L1" s="10" t="s">
        <v>12</v>
      </c>
      <c r="M1" s="13" t="s">
        <v>99</v>
      </c>
      <c r="N1" s="13" t="s">
        <v>100</v>
      </c>
      <c r="O1" s="13" t="s">
        <v>103</v>
      </c>
      <c r="P1" s="13" t="s">
        <v>89</v>
      </c>
      <c r="Q1" s="13" t="s">
        <v>119</v>
      </c>
      <c r="R1" s="13" t="s">
        <v>121</v>
      </c>
      <c r="S1" s="13" t="s">
        <v>122</v>
      </c>
      <c r="T1" s="13" t="s">
        <v>124</v>
      </c>
      <c r="U1" s="13" t="s">
        <v>125</v>
      </c>
      <c r="V1" s="13" t="s">
        <v>127</v>
      </c>
      <c r="W1" s="13" t="s">
        <v>129</v>
      </c>
      <c r="X1" s="13" t="s">
        <v>131</v>
      </c>
      <c r="Y1" s="13" t="s">
        <v>132</v>
      </c>
      <c r="Z1" s="13" t="s">
        <v>133</v>
      </c>
      <c r="AA1" s="13" t="s">
        <v>134</v>
      </c>
      <c r="AB1" s="13" t="s">
        <v>135</v>
      </c>
      <c r="AC1" s="13" t="s">
        <v>136</v>
      </c>
      <c r="AD1" s="13"/>
      <c r="AE1" s="13"/>
      <c r="AF1" s="13"/>
      <c r="BS1" s="7" t="s">
        <v>17</v>
      </c>
      <c r="BT1" s="7" t="s">
        <v>23</v>
      </c>
      <c r="BU1" s="7" t="s">
        <v>26</v>
      </c>
      <c r="BW1" s="33" t="s">
        <v>17</v>
      </c>
      <c r="BX1" s="33" t="s">
        <v>23</v>
      </c>
      <c r="BY1" s="33" t="s">
        <v>26</v>
      </c>
    </row>
    <row r="2" spans="1:79" x14ac:dyDescent="0.25">
      <c r="A2" s="7" t="s">
        <v>9</v>
      </c>
      <c r="B2" s="9" t="s">
        <v>4</v>
      </c>
      <c r="C2" s="7" t="s">
        <v>3</v>
      </c>
      <c r="D2" s="9" t="s">
        <v>7</v>
      </c>
      <c r="E2" s="7" t="s">
        <v>5</v>
      </c>
      <c r="F2" s="7" t="s">
        <v>6</v>
      </c>
      <c r="G2" s="7" t="s">
        <v>13</v>
      </c>
      <c r="H2" s="7" t="s">
        <v>27</v>
      </c>
      <c r="K2" s="8" t="s">
        <v>15</v>
      </c>
      <c r="L2" s="10" t="s">
        <v>19</v>
      </c>
      <c r="M2" s="13">
        <v>3</v>
      </c>
      <c r="N2" s="13">
        <v>4</v>
      </c>
      <c r="O2" s="13">
        <v>5</v>
      </c>
      <c r="P2" s="13">
        <v>9</v>
      </c>
      <c r="Q2" s="13">
        <v>10</v>
      </c>
      <c r="R2" s="13">
        <v>11</v>
      </c>
      <c r="S2" s="13">
        <v>12</v>
      </c>
      <c r="T2" s="13">
        <v>13</v>
      </c>
      <c r="U2" s="13">
        <v>14</v>
      </c>
      <c r="V2" s="13">
        <v>15</v>
      </c>
      <c r="W2" s="13">
        <v>16</v>
      </c>
      <c r="X2" s="13">
        <v>17</v>
      </c>
      <c r="Y2" s="13">
        <v>18</v>
      </c>
      <c r="Z2" s="13">
        <v>19</v>
      </c>
      <c r="AA2" s="13">
        <v>20</v>
      </c>
      <c r="AB2" s="13">
        <v>21</v>
      </c>
      <c r="AC2" s="13">
        <v>22</v>
      </c>
      <c r="AD2" s="13"/>
      <c r="AE2" s="13"/>
      <c r="AF2" s="13"/>
      <c r="BS2" s="10"/>
      <c r="BT2" s="10"/>
      <c r="BU2" s="10"/>
      <c r="BW2" s="33"/>
      <c r="BX2" s="33"/>
      <c r="BY2" s="33"/>
    </row>
    <row r="3" spans="1:79" x14ac:dyDescent="0.25">
      <c r="A3" s="7">
        <v>1</v>
      </c>
      <c r="B3" s="12" t="s">
        <v>98</v>
      </c>
      <c r="C3" s="13">
        <v>2</v>
      </c>
      <c r="D3" s="12"/>
      <c r="E3" s="15">
        <v>56789</v>
      </c>
      <c r="F3" s="13">
        <v>1</v>
      </c>
      <c r="G3" s="13">
        <v>12</v>
      </c>
      <c r="H3" s="13">
        <v>0</v>
      </c>
      <c r="K3" s="9" t="s">
        <v>16</v>
      </c>
      <c r="L3" s="10" t="s">
        <v>20</v>
      </c>
      <c r="M3" s="13"/>
      <c r="N3" s="13"/>
      <c r="O3" s="27" t="s">
        <v>87</v>
      </c>
      <c r="P3" s="27"/>
      <c r="Q3" s="27"/>
      <c r="R3" s="27"/>
      <c r="S3" s="27"/>
      <c r="T3" s="27"/>
      <c r="U3" s="27"/>
      <c r="V3" s="27"/>
      <c r="W3" s="27"/>
      <c r="X3" s="27"/>
      <c r="Y3" s="27"/>
      <c r="Z3" s="27"/>
      <c r="AA3" s="27"/>
      <c r="AB3" s="27"/>
      <c r="AC3" s="27"/>
      <c r="AD3" s="13"/>
      <c r="AE3" s="13"/>
      <c r="AF3" s="13"/>
      <c r="BS3" s="7" t="s">
        <v>22</v>
      </c>
      <c r="BT3" s="7" t="s">
        <v>24</v>
      </c>
      <c r="BU3" s="7" t="s">
        <v>25</v>
      </c>
      <c r="BW3" s="33" t="s">
        <v>22</v>
      </c>
      <c r="BX3" s="33" t="s">
        <v>24</v>
      </c>
      <c r="BY3" s="33" t="s">
        <v>25</v>
      </c>
    </row>
    <row r="4" spans="1:79" x14ac:dyDescent="0.25">
      <c r="A4" s="7">
        <v>2</v>
      </c>
      <c r="B4" s="12" t="s">
        <v>101</v>
      </c>
      <c r="C4" s="13">
        <v>6</v>
      </c>
      <c r="D4" s="12"/>
      <c r="E4" s="15">
        <v>3211</v>
      </c>
      <c r="F4" s="13">
        <v>1</v>
      </c>
      <c r="G4" s="13">
        <v>10</v>
      </c>
      <c r="H4" s="13">
        <v>0</v>
      </c>
      <c r="I4" s="44"/>
      <c r="J4" s="44"/>
      <c r="L4" s="26">
        <v>10</v>
      </c>
      <c r="M4" s="18" t="s">
        <v>104</v>
      </c>
      <c r="N4" s="19" t="s">
        <v>107</v>
      </c>
      <c r="O4" s="19" t="s">
        <v>138</v>
      </c>
      <c r="P4" s="19" t="s">
        <v>90</v>
      </c>
      <c r="Q4" s="19" t="s">
        <v>48</v>
      </c>
      <c r="R4" s="19">
        <v>11</v>
      </c>
      <c r="S4" s="19" t="s">
        <v>123</v>
      </c>
      <c r="T4" s="19">
        <v>11</v>
      </c>
      <c r="U4" s="19" t="s">
        <v>126</v>
      </c>
      <c r="V4" s="19" t="s">
        <v>128</v>
      </c>
      <c r="W4" s="19" t="s">
        <v>130</v>
      </c>
      <c r="X4" s="19" t="s">
        <v>86</v>
      </c>
      <c r="Y4" s="19" t="s">
        <v>50</v>
      </c>
      <c r="Z4" s="19" t="s">
        <v>656</v>
      </c>
      <c r="AA4" s="19" t="s">
        <v>34</v>
      </c>
      <c r="AB4" s="19" t="s">
        <v>44</v>
      </c>
      <c r="AC4" s="19" t="s">
        <v>34</v>
      </c>
      <c r="AD4" s="20"/>
      <c r="AE4" s="20"/>
      <c r="AF4" s="20"/>
      <c r="AG4" s="21"/>
      <c r="AH4" s="21"/>
      <c r="AI4" s="21"/>
      <c r="AJ4" s="21"/>
      <c r="AK4" s="21"/>
      <c r="AL4" s="21"/>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19">
        <v>20160229</v>
      </c>
      <c r="BT4" s="19" t="s">
        <v>88</v>
      </c>
      <c r="BU4" s="19">
        <v>60</v>
      </c>
      <c r="BW4" s="19">
        <v>20160229</v>
      </c>
      <c r="BX4" s="19" t="s">
        <v>91</v>
      </c>
      <c r="BY4" s="19">
        <v>60</v>
      </c>
      <c r="CA4" s="44"/>
    </row>
    <row r="5" spans="1:79" x14ac:dyDescent="0.25">
      <c r="A5" s="7">
        <v>3</v>
      </c>
      <c r="B5" s="12"/>
      <c r="C5" s="13"/>
      <c r="D5" s="12"/>
      <c r="E5" s="13"/>
      <c r="F5" s="13"/>
      <c r="G5" s="13"/>
      <c r="H5" s="13"/>
      <c r="I5" s="44"/>
      <c r="J5" s="44"/>
      <c r="L5" s="26">
        <v>5</v>
      </c>
      <c r="M5" s="18" t="s">
        <v>104</v>
      </c>
      <c r="N5" s="19" t="s">
        <v>107</v>
      </c>
      <c r="O5" s="19" t="s">
        <v>138</v>
      </c>
      <c r="P5" s="19" t="s">
        <v>92</v>
      </c>
      <c r="Q5" s="19" t="s">
        <v>48</v>
      </c>
      <c r="R5" s="19">
        <v>11</v>
      </c>
      <c r="S5" s="19" t="s">
        <v>123</v>
      </c>
      <c r="T5" s="19">
        <v>11</v>
      </c>
      <c r="U5" s="19" t="s">
        <v>126</v>
      </c>
      <c r="V5" s="19" t="s">
        <v>128</v>
      </c>
      <c r="W5" s="19" t="s">
        <v>130</v>
      </c>
      <c r="X5" s="19" t="s">
        <v>86</v>
      </c>
      <c r="Y5" s="19" t="s">
        <v>50</v>
      </c>
      <c r="Z5" s="19" t="s">
        <v>656</v>
      </c>
      <c r="AA5" s="19" t="s">
        <v>34</v>
      </c>
      <c r="AB5" s="19" t="s">
        <v>44</v>
      </c>
      <c r="AC5" s="19" t="s">
        <v>34</v>
      </c>
      <c r="AD5" s="20"/>
      <c r="AE5" s="20"/>
      <c r="AF5" s="20"/>
      <c r="AG5" s="21"/>
      <c r="AH5" s="21"/>
      <c r="AI5" s="21"/>
      <c r="AJ5" s="21"/>
      <c r="AK5" s="21"/>
      <c r="AL5" s="21"/>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19">
        <v>20160229</v>
      </c>
      <c r="BT5" s="19" t="s">
        <v>91</v>
      </c>
      <c r="BU5" s="19">
        <v>60</v>
      </c>
      <c r="BW5" s="19">
        <v>20160229</v>
      </c>
      <c r="BX5" s="19" t="s">
        <v>97</v>
      </c>
      <c r="BY5" s="19">
        <v>60</v>
      </c>
      <c r="CA5" s="44"/>
    </row>
    <row r="6" spans="1:79" x14ac:dyDescent="0.25">
      <c r="A6" s="7">
        <v>4</v>
      </c>
      <c r="B6" s="12"/>
      <c r="C6" s="13"/>
      <c r="D6" s="12"/>
      <c r="E6" s="13"/>
      <c r="F6" s="13"/>
      <c r="G6" s="13"/>
      <c r="H6" s="13"/>
      <c r="I6" s="44"/>
      <c r="J6" s="44"/>
      <c r="L6" s="26">
        <v>15</v>
      </c>
      <c r="M6" s="18" t="s">
        <v>104</v>
      </c>
      <c r="N6" s="19" t="s">
        <v>109</v>
      </c>
      <c r="O6" s="19" t="s">
        <v>138</v>
      </c>
      <c r="P6" s="19" t="s">
        <v>93</v>
      </c>
      <c r="Q6" s="19" t="s">
        <v>48</v>
      </c>
      <c r="R6" s="19">
        <v>11</v>
      </c>
      <c r="S6" s="19" t="s">
        <v>123</v>
      </c>
      <c r="T6" s="19">
        <v>11</v>
      </c>
      <c r="U6" s="19" t="s">
        <v>126</v>
      </c>
      <c r="V6" s="19" t="s">
        <v>128</v>
      </c>
      <c r="W6" s="19" t="s">
        <v>130</v>
      </c>
      <c r="X6" s="19" t="s">
        <v>86</v>
      </c>
      <c r="Y6" s="19" t="s">
        <v>50</v>
      </c>
      <c r="Z6" s="19" t="s">
        <v>656</v>
      </c>
      <c r="AA6" s="19" t="s">
        <v>34</v>
      </c>
      <c r="AB6" s="19" t="s">
        <v>44</v>
      </c>
      <c r="AC6" s="19" t="s">
        <v>34</v>
      </c>
      <c r="AD6" s="20"/>
      <c r="AE6" s="20"/>
      <c r="AF6" s="20"/>
      <c r="AG6" s="21"/>
      <c r="AH6" s="21"/>
      <c r="AI6" s="21"/>
      <c r="AJ6" s="21"/>
      <c r="AK6" s="21"/>
      <c r="AL6" s="21"/>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19">
        <v>20160129</v>
      </c>
      <c r="BT6" s="19" t="s">
        <v>88</v>
      </c>
      <c r="BU6" s="19">
        <v>60</v>
      </c>
      <c r="BW6" s="19">
        <v>20160129</v>
      </c>
      <c r="BX6" s="19" t="s">
        <v>91</v>
      </c>
      <c r="BY6" s="19">
        <v>60</v>
      </c>
    </row>
    <row r="7" spans="1:79" x14ac:dyDescent="0.25">
      <c r="A7" s="7">
        <v>5</v>
      </c>
      <c r="B7" s="12"/>
      <c r="C7" s="13"/>
      <c r="D7" s="12"/>
      <c r="E7" s="16"/>
      <c r="F7" s="13"/>
      <c r="G7" s="13"/>
      <c r="H7" s="13"/>
      <c r="I7" s="44"/>
      <c r="J7" s="44"/>
      <c r="L7" s="26">
        <v>55</v>
      </c>
      <c r="M7" s="18" t="s">
        <v>104</v>
      </c>
      <c r="N7" s="19" t="s">
        <v>111</v>
      </c>
      <c r="O7" s="19" t="s">
        <v>138</v>
      </c>
      <c r="P7" s="19" t="s">
        <v>94</v>
      </c>
      <c r="Q7" s="19" t="s">
        <v>48</v>
      </c>
      <c r="R7" s="19">
        <v>11</v>
      </c>
      <c r="S7" s="19" t="s">
        <v>123</v>
      </c>
      <c r="T7" s="19">
        <v>11</v>
      </c>
      <c r="U7" s="19" t="s">
        <v>126</v>
      </c>
      <c r="V7" s="19" t="s">
        <v>128</v>
      </c>
      <c r="W7" s="19" t="s">
        <v>130</v>
      </c>
      <c r="X7" s="19" t="s">
        <v>86</v>
      </c>
      <c r="Y7" s="19" t="s">
        <v>50</v>
      </c>
      <c r="Z7" s="19" t="s">
        <v>656</v>
      </c>
      <c r="AA7" s="19" t="s">
        <v>34</v>
      </c>
      <c r="AB7" s="19" t="s">
        <v>44</v>
      </c>
      <c r="AC7" s="19" t="s">
        <v>34</v>
      </c>
      <c r="AD7" s="20"/>
      <c r="AE7" s="20"/>
      <c r="AF7" s="20"/>
      <c r="AG7" s="21"/>
      <c r="AH7" s="21"/>
      <c r="AI7" s="21"/>
      <c r="AJ7" s="21"/>
      <c r="AK7" s="21"/>
      <c r="AL7" s="21"/>
      <c r="AM7" s="22"/>
      <c r="AN7" s="22"/>
      <c r="AO7" s="23"/>
      <c r="AP7" s="23"/>
      <c r="AQ7" s="24"/>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19">
        <v>20160229</v>
      </c>
      <c r="BT7" s="19" t="s">
        <v>88</v>
      </c>
      <c r="BU7" s="19">
        <v>60</v>
      </c>
      <c r="BW7" s="19">
        <v>20160229</v>
      </c>
      <c r="BX7" s="19" t="s">
        <v>91</v>
      </c>
      <c r="BY7" s="19">
        <v>60</v>
      </c>
    </row>
    <row r="8" spans="1:79" x14ac:dyDescent="0.25">
      <c r="A8" s="7">
        <v>6</v>
      </c>
      <c r="B8" s="12"/>
      <c r="C8" s="13"/>
      <c r="D8" s="12"/>
      <c r="E8" s="13"/>
      <c r="F8" s="13"/>
      <c r="G8" s="13"/>
      <c r="H8" s="13"/>
      <c r="I8" s="44"/>
      <c r="J8" s="44"/>
      <c r="L8" s="26">
        <v>100</v>
      </c>
      <c r="M8" s="18" t="s">
        <v>104</v>
      </c>
      <c r="N8" s="19" t="s">
        <v>105</v>
      </c>
      <c r="O8" s="19" t="s">
        <v>138</v>
      </c>
      <c r="P8" s="19" t="s">
        <v>95</v>
      </c>
      <c r="Q8" s="19" t="s">
        <v>48</v>
      </c>
      <c r="R8" s="19">
        <v>11</v>
      </c>
      <c r="S8" s="19" t="s">
        <v>123</v>
      </c>
      <c r="T8" s="19">
        <v>11</v>
      </c>
      <c r="U8" s="19" t="s">
        <v>126</v>
      </c>
      <c r="V8" s="19" t="s">
        <v>128</v>
      </c>
      <c r="W8" s="19" t="s">
        <v>130</v>
      </c>
      <c r="X8" s="19" t="s">
        <v>86</v>
      </c>
      <c r="Y8" s="19" t="s">
        <v>50</v>
      </c>
      <c r="Z8" s="19" t="s">
        <v>656</v>
      </c>
      <c r="AA8" s="19" t="s">
        <v>34</v>
      </c>
      <c r="AB8" s="19" t="s">
        <v>44</v>
      </c>
      <c r="AC8" s="19" t="s">
        <v>34</v>
      </c>
      <c r="AD8" s="20"/>
      <c r="AE8" s="20"/>
      <c r="AF8" s="20"/>
      <c r="AG8" s="21"/>
      <c r="AH8" s="21"/>
      <c r="AI8" s="21"/>
      <c r="AJ8" s="21"/>
      <c r="AK8" s="21"/>
      <c r="AL8" s="21"/>
      <c r="AM8" s="22"/>
      <c r="AN8" s="22"/>
      <c r="AO8" s="23"/>
      <c r="AP8" s="23"/>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19">
        <v>20160229</v>
      </c>
      <c r="BT8" s="19" t="s">
        <v>88</v>
      </c>
      <c r="BU8" s="19">
        <v>60</v>
      </c>
      <c r="BW8" s="19">
        <v>20160229</v>
      </c>
      <c r="BX8" s="19" t="s">
        <v>91</v>
      </c>
      <c r="BY8" s="19">
        <v>60</v>
      </c>
    </row>
    <row r="9" spans="1:79" x14ac:dyDescent="0.25">
      <c r="A9" s="7">
        <v>7</v>
      </c>
      <c r="B9" s="12"/>
      <c r="C9" s="13"/>
      <c r="D9" s="12"/>
      <c r="E9" s="13"/>
      <c r="F9" s="13"/>
      <c r="G9" s="13"/>
      <c r="H9" s="13"/>
      <c r="I9" s="44"/>
      <c r="J9" s="44"/>
      <c r="L9" s="26">
        <v>10</v>
      </c>
      <c r="M9" s="18" t="s">
        <v>104</v>
      </c>
      <c r="N9" s="19" t="s">
        <v>107</v>
      </c>
      <c r="O9" s="19" t="s">
        <v>138</v>
      </c>
      <c r="P9" s="19" t="s">
        <v>96</v>
      </c>
      <c r="Q9" s="19" t="s">
        <v>48</v>
      </c>
      <c r="R9" s="19">
        <v>11</v>
      </c>
      <c r="S9" s="19" t="s">
        <v>123</v>
      </c>
      <c r="T9" s="19">
        <v>11</v>
      </c>
      <c r="U9" s="19" t="s">
        <v>126</v>
      </c>
      <c r="V9" s="19" t="s">
        <v>128</v>
      </c>
      <c r="W9" s="19" t="s">
        <v>130</v>
      </c>
      <c r="X9" s="19" t="s">
        <v>86</v>
      </c>
      <c r="Y9" s="19" t="s">
        <v>50</v>
      </c>
      <c r="Z9" s="19" t="s">
        <v>656</v>
      </c>
      <c r="AA9" s="19" t="s">
        <v>34</v>
      </c>
      <c r="AB9" s="19" t="s">
        <v>44</v>
      </c>
      <c r="AC9" s="19" t="s">
        <v>34</v>
      </c>
      <c r="AD9" s="20"/>
      <c r="AE9" s="20"/>
      <c r="AF9" s="20"/>
      <c r="AG9" s="21"/>
      <c r="AH9" s="21"/>
      <c r="AI9" s="21"/>
      <c r="AJ9" s="21"/>
      <c r="AK9" s="21"/>
      <c r="AL9" s="21"/>
      <c r="AM9" s="22"/>
      <c r="AN9" s="22"/>
      <c r="AO9" s="23"/>
      <c r="AP9" s="23"/>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19">
        <v>20160115</v>
      </c>
      <c r="BT9" s="19" t="s">
        <v>88</v>
      </c>
      <c r="BU9" s="19">
        <v>60</v>
      </c>
      <c r="BW9" s="19">
        <v>20160115</v>
      </c>
      <c r="BX9" s="19" t="s">
        <v>91</v>
      </c>
      <c r="BY9" s="19">
        <v>60</v>
      </c>
    </row>
    <row r="10" spans="1:79" x14ac:dyDescent="0.25">
      <c r="A10" s="7">
        <v>8</v>
      </c>
      <c r="B10" s="12"/>
      <c r="C10" s="13"/>
      <c r="D10" s="12"/>
      <c r="E10" s="13"/>
      <c r="F10" s="13"/>
      <c r="G10" s="13"/>
      <c r="H10" s="13"/>
      <c r="I10" s="44"/>
      <c r="J10" s="44"/>
      <c r="L10" s="19"/>
      <c r="M10" s="18"/>
      <c r="N10" s="19"/>
      <c r="O10" s="19"/>
      <c r="P10" s="19"/>
      <c r="Q10" s="19"/>
      <c r="R10" s="19"/>
      <c r="S10" s="19"/>
      <c r="T10" s="19"/>
      <c r="U10" s="19"/>
      <c r="V10" s="19"/>
      <c r="W10" s="19"/>
      <c r="X10" s="19"/>
      <c r="Y10" s="19"/>
      <c r="Z10" s="19"/>
      <c r="AA10" s="19"/>
      <c r="AB10" s="19"/>
      <c r="AC10" s="19"/>
      <c r="AD10" s="20"/>
      <c r="AE10" s="20"/>
      <c r="AF10" s="20"/>
      <c r="AG10" s="21"/>
      <c r="AH10" s="21"/>
      <c r="AI10" s="21"/>
      <c r="AJ10" s="21"/>
      <c r="AK10" s="21"/>
      <c r="AL10" s="21"/>
      <c r="AM10" s="22"/>
      <c r="AN10" s="22"/>
      <c r="AO10" s="23"/>
      <c r="AP10" s="23"/>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19"/>
      <c r="BT10" s="19"/>
      <c r="BU10" s="19"/>
      <c r="BW10" s="19"/>
      <c r="BX10" s="19"/>
      <c r="BY10" s="19"/>
    </row>
    <row r="11" spans="1:79" x14ac:dyDescent="0.25">
      <c r="A11" s="7">
        <v>9</v>
      </c>
      <c r="B11" s="12"/>
      <c r="C11" s="13"/>
      <c r="D11" s="12"/>
      <c r="E11" s="13"/>
      <c r="F11" s="13"/>
      <c r="G11" s="13"/>
      <c r="H11" s="13"/>
      <c r="I11" s="44"/>
      <c r="J11" s="44"/>
      <c r="L11" s="19"/>
      <c r="M11" s="18"/>
      <c r="N11" s="19"/>
      <c r="O11" s="19"/>
      <c r="P11" s="19"/>
      <c r="Q11" s="19"/>
      <c r="R11" s="19"/>
      <c r="S11" s="19"/>
      <c r="T11" s="19"/>
      <c r="U11" s="19"/>
      <c r="V11" s="19"/>
      <c r="W11" s="19"/>
      <c r="X11" s="19"/>
      <c r="Y11" s="19"/>
      <c r="Z11" s="19"/>
      <c r="AA11" s="19"/>
      <c r="AB11" s="19"/>
      <c r="AC11" s="19"/>
      <c r="AD11" s="20"/>
      <c r="AE11" s="20"/>
      <c r="AF11" s="20"/>
      <c r="AG11" s="21"/>
      <c r="AH11" s="21"/>
      <c r="AI11" s="21"/>
      <c r="AJ11" s="21"/>
      <c r="AK11" s="21"/>
      <c r="AL11" s="21"/>
      <c r="AM11" s="22"/>
      <c r="AN11" s="22"/>
      <c r="AO11" s="23"/>
      <c r="AP11" s="23"/>
      <c r="AQ11" s="24"/>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19"/>
      <c r="BT11" s="19"/>
      <c r="BU11" s="19"/>
      <c r="BW11" s="19"/>
      <c r="BX11" s="19"/>
      <c r="BY11" s="19"/>
    </row>
    <row r="12" spans="1:79" x14ac:dyDescent="0.25">
      <c r="A12" s="7">
        <v>10</v>
      </c>
      <c r="B12" s="12"/>
      <c r="C12" s="13"/>
      <c r="D12" s="12"/>
      <c r="E12" s="13"/>
      <c r="F12" s="13"/>
      <c r="G12" s="13"/>
      <c r="H12" s="13"/>
      <c r="I12" s="44"/>
      <c r="J12" s="44"/>
      <c r="L12" s="19"/>
      <c r="M12" s="18"/>
      <c r="N12" s="19"/>
      <c r="O12" s="19"/>
      <c r="P12" s="19"/>
      <c r="Q12" s="19"/>
      <c r="R12" s="19"/>
      <c r="S12" s="19"/>
      <c r="T12" s="19"/>
      <c r="U12" s="19"/>
      <c r="V12" s="19"/>
      <c r="W12" s="19"/>
      <c r="X12" s="19"/>
      <c r="Y12" s="19"/>
      <c r="Z12" s="19"/>
      <c r="AA12" s="19"/>
      <c r="AB12" s="19"/>
      <c r="AC12" s="19"/>
      <c r="AD12" s="20"/>
      <c r="AE12" s="20"/>
      <c r="AF12" s="20"/>
      <c r="AG12" s="21"/>
      <c r="AH12" s="21"/>
      <c r="AI12" s="21"/>
      <c r="AJ12" s="21"/>
      <c r="AK12" s="21"/>
      <c r="AL12" s="21"/>
      <c r="AM12" s="22"/>
      <c r="AN12" s="22"/>
      <c r="AO12" s="23"/>
      <c r="AP12" s="23"/>
      <c r="AQ12" s="24"/>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19"/>
      <c r="BT12" s="19"/>
      <c r="BU12" s="19"/>
      <c r="BW12" s="19"/>
      <c r="BX12" s="19"/>
      <c r="BY12" s="19"/>
    </row>
    <row r="13" spans="1:79" x14ac:dyDescent="0.25">
      <c r="B13" s="5"/>
      <c r="C13" s="6"/>
      <c r="D13" s="5"/>
      <c r="E13" s="6"/>
      <c r="F13" s="6"/>
      <c r="L13" s="19"/>
      <c r="M13" s="18"/>
      <c r="N13" s="19"/>
      <c r="O13" s="19"/>
      <c r="P13" s="19"/>
      <c r="Q13" s="19"/>
      <c r="R13" s="19"/>
      <c r="S13" s="19"/>
      <c r="T13" s="19"/>
      <c r="U13" s="19"/>
      <c r="V13" s="19"/>
      <c r="W13" s="19"/>
      <c r="X13" s="19"/>
      <c r="Y13" s="19"/>
      <c r="Z13" s="19"/>
      <c r="AA13" s="19"/>
      <c r="AB13" s="19"/>
      <c r="AC13" s="19"/>
      <c r="AD13" s="20"/>
      <c r="AE13" s="20"/>
      <c r="AF13" s="20"/>
      <c r="AG13" s="21"/>
      <c r="AH13" s="21"/>
      <c r="AI13" s="21"/>
      <c r="AJ13" s="21"/>
      <c r="AK13" s="21"/>
      <c r="AL13" s="21"/>
      <c r="AM13" s="22"/>
      <c r="AN13" s="22"/>
      <c r="AO13" s="23"/>
      <c r="AP13" s="23"/>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19"/>
      <c r="BT13" s="19"/>
      <c r="BU13" s="19"/>
      <c r="BW13" s="19"/>
      <c r="BX13" s="19"/>
      <c r="BY13" s="19"/>
    </row>
    <row r="14" spans="1:79" x14ac:dyDescent="0.25">
      <c r="I14" s="44"/>
      <c r="J14" s="44"/>
      <c r="L14" s="19"/>
      <c r="M14" s="18"/>
      <c r="N14" s="19"/>
      <c r="O14" s="19"/>
      <c r="P14" s="19"/>
      <c r="Q14" s="19"/>
      <c r="R14" s="19"/>
      <c r="S14" s="19"/>
      <c r="T14" s="19"/>
      <c r="U14" s="19"/>
      <c r="V14" s="19"/>
      <c r="W14" s="19"/>
      <c r="X14" s="19"/>
      <c r="Y14" s="19"/>
      <c r="Z14" s="19"/>
      <c r="AA14" s="19"/>
      <c r="AB14" s="19"/>
      <c r="AC14" s="19"/>
      <c r="AD14" s="20"/>
      <c r="AE14" s="20"/>
      <c r="AF14" s="20"/>
      <c r="AG14" s="21"/>
      <c r="AH14" s="21"/>
      <c r="AI14" s="21"/>
      <c r="AJ14" s="21"/>
      <c r="AK14" s="21"/>
      <c r="AL14" s="21"/>
      <c r="AM14" s="22"/>
      <c r="AN14" s="22"/>
      <c r="AO14" s="23"/>
      <c r="AP14" s="23"/>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19"/>
      <c r="BT14" s="19"/>
      <c r="BU14" s="19"/>
      <c r="BW14" s="19"/>
      <c r="BX14" s="19"/>
      <c r="BY14" s="19"/>
    </row>
    <row r="15" spans="1:79" x14ac:dyDescent="0.25">
      <c r="B15" s="48" t="s">
        <v>11</v>
      </c>
      <c r="C15" s="48"/>
      <c r="D15" s="48"/>
      <c r="I15" s="44"/>
      <c r="J15" s="44"/>
      <c r="L15" s="19"/>
      <c r="M15" s="18"/>
      <c r="N15" s="19"/>
      <c r="O15" s="19"/>
      <c r="P15" s="19"/>
      <c r="Q15" s="19"/>
      <c r="R15" s="19"/>
      <c r="S15" s="19"/>
      <c r="T15" s="19"/>
      <c r="U15" s="19"/>
      <c r="V15" s="19"/>
      <c r="W15" s="19"/>
      <c r="X15" s="19"/>
      <c r="Y15" s="19"/>
      <c r="Z15" s="19"/>
      <c r="AA15" s="19"/>
      <c r="AB15" s="19"/>
      <c r="AC15" s="19"/>
      <c r="AD15" s="20"/>
      <c r="AE15" s="20"/>
      <c r="AF15" s="20"/>
      <c r="AG15" s="21"/>
      <c r="AH15" s="21"/>
      <c r="AI15" s="21"/>
      <c r="AJ15" s="21"/>
      <c r="AK15" s="21"/>
      <c r="AL15" s="21"/>
      <c r="AM15" s="22"/>
      <c r="AN15" s="22"/>
      <c r="AO15" s="23"/>
      <c r="AP15" s="23"/>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19"/>
      <c r="BT15" s="19"/>
      <c r="BU15" s="19"/>
      <c r="BW15" s="19"/>
      <c r="BX15" s="19"/>
      <c r="BY15" s="19"/>
    </row>
    <row r="16" spans="1:79" x14ac:dyDescent="0.25">
      <c r="A16" s="7" t="s">
        <v>9</v>
      </c>
      <c r="B16" s="11" t="s">
        <v>4</v>
      </c>
      <c r="C16" s="7" t="s">
        <v>3</v>
      </c>
      <c r="D16" s="11" t="s">
        <v>8</v>
      </c>
      <c r="F16" s="25" t="s">
        <v>18</v>
      </c>
      <c r="G16" s="13">
        <v>22</v>
      </c>
      <c r="I16" s="44"/>
      <c r="J16" s="44"/>
      <c r="L16" s="19"/>
      <c r="M16" s="18"/>
      <c r="N16" s="19"/>
      <c r="O16" s="19"/>
      <c r="P16" s="19"/>
      <c r="Q16" s="19"/>
      <c r="R16" s="19"/>
      <c r="S16" s="19"/>
      <c r="T16" s="19"/>
      <c r="U16" s="19"/>
      <c r="V16" s="19"/>
      <c r="W16" s="19"/>
      <c r="X16" s="19"/>
      <c r="Y16" s="19"/>
      <c r="Z16" s="19"/>
      <c r="AA16" s="19"/>
      <c r="AB16" s="19"/>
      <c r="AC16" s="19"/>
      <c r="AD16" s="20"/>
      <c r="AE16" s="20"/>
      <c r="AF16" s="20"/>
      <c r="AG16" s="21"/>
      <c r="AH16" s="21"/>
      <c r="AI16" s="21"/>
      <c r="AJ16" s="21"/>
      <c r="AK16" s="21"/>
      <c r="AL16" s="21"/>
      <c r="AM16" s="22"/>
      <c r="AN16" s="22"/>
      <c r="AO16" s="23"/>
      <c r="AP16" s="23"/>
      <c r="AQ16" s="24"/>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19"/>
      <c r="BT16" s="19"/>
      <c r="BU16" s="19"/>
      <c r="BW16" s="19"/>
      <c r="BX16" s="19"/>
      <c r="BY16" s="19"/>
    </row>
    <row r="17" spans="1:77" x14ac:dyDescent="0.25">
      <c r="A17" s="7">
        <v>1</v>
      </c>
      <c r="B17" s="14" t="s">
        <v>85</v>
      </c>
      <c r="C17" s="13">
        <v>1</v>
      </c>
      <c r="D17" s="17" t="s">
        <v>29</v>
      </c>
      <c r="I17" s="44"/>
      <c r="J17" s="44"/>
      <c r="L17" s="19"/>
      <c r="M17" s="18"/>
      <c r="N17" s="19"/>
      <c r="O17" s="19"/>
      <c r="P17" s="19"/>
      <c r="Q17" s="19"/>
      <c r="R17" s="19"/>
      <c r="S17" s="19"/>
      <c r="T17" s="19"/>
      <c r="U17" s="19"/>
      <c r="V17" s="19"/>
      <c r="W17" s="19"/>
      <c r="X17" s="19"/>
      <c r="Y17" s="19"/>
      <c r="Z17" s="19"/>
      <c r="AA17" s="19"/>
      <c r="AB17" s="19"/>
      <c r="AC17" s="19"/>
      <c r="AD17" s="20"/>
      <c r="AE17" s="20"/>
      <c r="AF17" s="20"/>
      <c r="AG17" s="21"/>
      <c r="AH17" s="21"/>
      <c r="AI17" s="21"/>
      <c r="AJ17" s="21"/>
      <c r="AK17" s="21"/>
      <c r="AL17" s="21"/>
      <c r="AM17" s="22"/>
      <c r="AN17" s="22"/>
      <c r="AO17" s="23"/>
      <c r="AP17" s="23"/>
      <c r="AQ17" s="24"/>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19"/>
      <c r="BT17" s="19"/>
      <c r="BU17" s="19"/>
      <c r="BW17" s="19"/>
      <c r="BX17" s="19"/>
      <c r="BY17" s="19"/>
    </row>
    <row r="18" spans="1:77" x14ac:dyDescent="0.25">
      <c r="A18" s="7">
        <v>2</v>
      </c>
      <c r="B18" s="12" t="s">
        <v>102</v>
      </c>
      <c r="C18" s="13">
        <v>7</v>
      </c>
      <c r="D18" s="17" t="s">
        <v>29</v>
      </c>
      <c r="I18" s="4"/>
      <c r="O18"/>
      <c r="P18"/>
      <c r="Q18"/>
      <c r="R18" s="4"/>
      <c r="S18" s="4"/>
      <c r="T18" s="4"/>
      <c r="U18" s="4"/>
      <c r="V18" s="4"/>
      <c r="W18" s="4"/>
      <c r="X18" s="4"/>
      <c r="Y18" s="4"/>
      <c r="Z18" s="4"/>
      <c r="AA18" s="4"/>
      <c r="AB18" s="4"/>
      <c r="AC18" s="4"/>
      <c r="AE18"/>
      <c r="AG18"/>
      <c r="AI18"/>
      <c r="AK18"/>
      <c r="AN18" s="3"/>
      <c r="AP18" s="3"/>
      <c r="AR18" s="3"/>
      <c r="AT18" s="3"/>
      <c r="AV18" s="3"/>
      <c r="AX18" s="3"/>
      <c r="AZ18" s="3"/>
      <c r="BB18" s="3"/>
      <c r="BD18" s="3"/>
      <c r="BF18" s="3"/>
      <c r="BH18" s="3"/>
      <c r="BJ18" s="3"/>
      <c r="BL18" s="3"/>
      <c r="BN18" s="3"/>
      <c r="BP18" s="3"/>
      <c r="BR18" s="3"/>
    </row>
    <row r="19" spans="1:77" x14ac:dyDescent="0.25">
      <c r="A19" s="7">
        <v>3</v>
      </c>
      <c r="B19" s="12" t="s">
        <v>118</v>
      </c>
      <c r="C19" s="13">
        <v>8</v>
      </c>
      <c r="D19" s="17">
        <v>7</v>
      </c>
      <c r="I19" s="3"/>
      <c r="N19" s="4"/>
      <c r="O19" s="4"/>
      <c r="P19" s="4"/>
      <c r="Q19" s="4"/>
      <c r="R19" s="4"/>
      <c r="S19" s="4"/>
      <c r="T19" s="4"/>
      <c r="U19" s="4"/>
      <c r="V19" s="4"/>
      <c r="W19" s="4"/>
      <c r="X19" s="4"/>
      <c r="Y19" s="4"/>
      <c r="Z19" s="4"/>
      <c r="AA19" s="4"/>
      <c r="AB19" s="4"/>
      <c r="AC19" s="4"/>
      <c r="AD19" s="4"/>
      <c r="AE19" s="4"/>
      <c r="AF19" s="4"/>
      <c r="AG19" s="4"/>
      <c r="AH19" s="4"/>
      <c r="AI19" s="4"/>
      <c r="AJ19" s="4"/>
      <c r="AL19" s="4"/>
    </row>
    <row r="20" spans="1:77" x14ac:dyDescent="0.25">
      <c r="A20" s="7">
        <v>4</v>
      </c>
      <c r="B20" s="14"/>
      <c r="C20" s="13"/>
      <c r="D20" s="17"/>
      <c r="I20" s="3"/>
      <c r="R20" s="4"/>
      <c r="S20" s="4"/>
      <c r="T20" s="4"/>
      <c r="U20" s="4"/>
      <c r="V20" s="4"/>
      <c r="W20" s="4"/>
      <c r="X20" s="4"/>
      <c r="Y20" s="4"/>
      <c r="Z20" s="4"/>
      <c r="AA20" s="4"/>
      <c r="AB20" s="4"/>
      <c r="AC20" s="4"/>
      <c r="AG20" s="4"/>
      <c r="AH20" s="4"/>
      <c r="AI20" s="4"/>
      <c r="AJ20" s="4"/>
      <c r="AL20" s="4"/>
    </row>
    <row r="21" spans="1:77" x14ac:dyDescent="0.25">
      <c r="A21" s="7">
        <v>5</v>
      </c>
      <c r="B21" s="12"/>
      <c r="C21" s="13"/>
      <c r="D21" s="17"/>
      <c r="O21" s="4"/>
      <c r="P21" s="4"/>
      <c r="Q21" s="4"/>
      <c r="R21" s="4"/>
      <c r="S21" s="4"/>
      <c r="T21" s="4"/>
      <c r="U21" s="4"/>
      <c r="V21" s="4"/>
      <c r="W21" s="4"/>
      <c r="X21" s="4"/>
      <c r="Y21" s="4"/>
      <c r="Z21" s="4"/>
      <c r="AA21" s="4"/>
      <c r="AB21" s="4"/>
      <c r="AC21" s="4"/>
      <c r="AG21" s="4"/>
      <c r="AH21" s="4"/>
      <c r="AI21" s="4"/>
      <c r="AJ21" s="4"/>
      <c r="AL21" s="4"/>
    </row>
    <row r="22" spans="1:77" x14ac:dyDescent="0.25">
      <c r="A22" s="7">
        <v>6</v>
      </c>
      <c r="B22" s="12"/>
      <c r="C22" s="13"/>
      <c r="D22" s="17"/>
      <c r="O22" s="4"/>
      <c r="P22" s="4"/>
      <c r="Q22" s="4"/>
      <c r="R22" s="4"/>
      <c r="S22" s="4"/>
      <c r="T22" s="4"/>
      <c r="U22" s="4"/>
      <c r="V22" s="4"/>
      <c r="W22" s="4"/>
      <c r="X22" s="4"/>
      <c r="Y22" s="4"/>
      <c r="Z22" s="4"/>
      <c r="AA22" s="4"/>
      <c r="AB22" s="4"/>
      <c r="AC22" s="4"/>
      <c r="AG22" s="4"/>
      <c r="AH22" s="4"/>
      <c r="AI22" s="4"/>
      <c r="AJ22" s="4"/>
      <c r="AL22" s="4"/>
    </row>
    <row r="23" spans="1:77" x14ac:dyDescent="0.25">
      <c r="A23" s="7">
        <v>7</v>
      </c>
      <c r="B23" s="12"/>
      <c r="C23" s="13"/>
      <c r="D23" s="17"/>
      <c r="N23" s="4"/>
      <c r="O23" s="4"/>
      <c r="P23" s="4"/>
      <c r="Q23" s="4"/>
      <c r="R23" s="4"/>
      <c r="S23" s="4"/>
      <c r="T23" s="4"/>
      <c r="U23" s="4"/>
      <c r="V23" s="4"/>
      <c r="W23" s="4"/>
      <c r="X23" s="4"/>
      <c r="Y23" s="4"/>
      <c r="Z23" s="4"/>
      <c r="AA23" s="4"/>
      <c r="AB23" s="4"/>
      <c r="AC23" s="4"/>
      <c r="AD23" s="4"/>
      <c r="AE23" s="4"/>
      <c r="AF23" s="4"/>
      <c r="AG23" s="4"/>
      <c r="AH23" s="4"/>
      <c r="AI23" s="4"/>
      <c r="AJ23" s="4"/>
      <c r="AL23" s="4"/>
    </row>
    <row r="24" spans="1:77" x14ac:dyDescent="0.25">
      <c r="A24" s="7">
        <v>8</v>
      </c>
      <c r="B24" s="12"/>
      <c r="C24" s="13"/>
      <c r="D24" s="17"/>
      <c r="F24" s="34" t="s">
        <v>59</v>
      </c>
      <c r="G24" s="35"/>
      <c r="H24" s="2" t="s">
        <v>61</v>
      </c>
      <c r="N24" s="4"/>
      <c r="O24" s="4"/>
      <c r="P24" s="4"/>
      <c r="Q24" s="4"/>
      <c r="R24" s="4"/>
      <c r="S24" s="4"/>
      <c r="T24" s="4"/>
      <c r="U24" s="4"/>
      <c r="V24" s="4"/>
      <c r="W24" s="4"/>
      <c r="X24" s="4"/>
      <c r="Y24" s="4"/>
      <c r="Z24" s="4"/>
      <c r="AA24" s="4"/>
      <c r="AB24" s="4"/>
      <c r="AC24" s="4"/>
      <c r="AD24" s="4"/>
      <c r="AE24" s="4"/>
      <c r="AF24" s="4"/>
      <c r="AG24" s="4"/>
      <c r="AH24" s="4"/>
      <c r="AI24" s="4"/>
      <c r="AJ24" s="4"/>
      <c r="AL24" s="4"/>
    </row>
    <row r="25" spans="1:77" x14ac:dyDescent="0.25">
      <c r="A25" s="7">
        <v>9</v>
      </c>
      <c r="B25" s="12"/>
      <c r="C25" s="13"/>
      <c r="D25" s="12"/>
      <c r="F25" s="34" t="s">
        <v>60</v>
      </c>
      <c r="G25" s="13"/>
      <c r="H25" s="2" t="s">
        <v>62</v>
      </c>
      <c r="N25" s="4"/>
      <c r="O25" s="4"/>
      <c r="P25" s="4"/>
      <c r="Q25" s="4"/>
      <c r="R25" s="4"/>
      <c r="S25" s="4"/>
      <c r="T25" s="4"/>
      <c r="U25" s="4"/>
      <c r="V25" s="4"/>
      <c r="W25" s="4"/>
      <c r="X25" s="4"/>
      <c r="Y25" s="4"/>
      <c r="Z25" s="4"/>
      <c r="AA25" s="4"/>
      <c r="AB25" s="4"/>
      <c r="AC25" s="4"/>
      <c r="AD25" s="4"/>
      <c r="AE25" s="4"/>
      <c r="AF25" s="4"/>
      <c r="AG25" s="4"/>
      <c r="AH25" s="4"/>
      <c r="AI25" s="4"/>
      <c r="AJ25" s="4"/>
      <c r="AL25" s="4"/>
    </row>
    <row r="26" spans="1:77" x14ac:dyDescent="0.25">
      <c r="A26" s="7">
        <v>10</v>
      </c>
      <c r="B26" s="12"/>
      <c r="C26" s="13"/>
      <c r="D26" s="12"/>
      <c r="N26" s="4"/>
      <c r="O26" s="4"/>
      <c r="P26" s="4"/>
      <c r="Q26" s="4"/>
      <c r="R26" s="4"/>
      <c r="S26" s="4"/>
      <c r="T26" s="4"/>
      <c r="U26" s="4"/>
      <c r="V26" s="4"/>
      <c r="W26" s="4"/>
      <c r="X26" s="4"/>
      <c r="Y26" s="4"/>
      <c r="Z26" s="4"/>
      <c r="AA26" s="4"/>
      <c r="AB26" s="4"/>
      <c r="AC26" s="4"/>
      <c r="AD26" s="4"/>
      <c r="AE26" s="4"/>
      <c r="AF26" s="4"/>
      <c r="AG26" s="4"/>
      <c r="AH26" s="4"/>
      <c r="AI26" s="4"/>
      <c r="AJ26" s="4"/>
      <c r="AL26" s="4"/>
    </row>
    <row r="27" spans="1:77" x14ac:dyDescent="0.25">
      <c r="A27" s="7">
        <v>11</v>
      </c>
      <c r="B27" s="12"/>
      <c r="C27" s="13"/>
      <c r="D27" s="12"/>
      <c r="N27" s="4"/>
      <c r="O27" s="4"/>
      <c r="P27" s="4"/>
      <c r="Q27" s="4"/>
      <c r="R27" s="4"/>
      <c r="S27" s="4"/>
      <c r="T27" s="4"/>
      <c r="U27" s="4"/>
      <c r="V27" s="4"/>
      <c r="W27" s="4"/>
      <c r="X27" s="4"/>
      <c r="Y27" s="4"/>
      <c r="Z27" s="4"/>
      <c r="AA27" s="4"/>
      <c r="AB27" s="4"/>
      <c r="AC27" s="4"/>
      <c r="AD27" s="4"/>
      <c r="AE27" s="4"/>
      <c r="AF27" s="4"/>
      <c r="AG27" s="4"/>
      <c r="AH27" s="4"/>
      <c r="AI27" s="4"/>
      <c r="AJ27" s="4"/>
      <c r="AL27" s="4"/>
    </row>
    <row r="28" spans="1:77" x14ac:dyDescent="0.25">
      <c r="A28" s="7">
        <v>12</v>
      </c>
      <c r="B28" s="12"/>
      <c r="C28" s="13"/>
      <c r="D28" s="17"/>
      <c r="N28" s="4"/>
      <c r="O28" s="4"/>
      <c r="P28" s="4"/>
      <c r="Q28" s="4"/>
      <c r="R28" s="4"/>
      <c r="S28" s="4"/>
      <c r="T28" s="4"/>
      <c r="U28" s="4"/>
      <c r="V28" s="4"/>
      <c r="W28" s="4"/>
      <c r="X28" s="4"/>
      <c r="Y28" s="4"/>
      <c r="Z28" s="4"/>
      <c r="AA28" s="4"/>
      <c r="AB28" s="4"/>
      <c r="AC28" s="4"/>
      <c r="AD28" s="4"/>
      <c r="AE28" s="4"/>
      <c r="AF28" s="4"/>
      <c r="AG28" s="4"/>
      <c r="AH28" s="4"/>
      <c r="AI28" s="4"/>
      <c r="AJ28" s="4"/>
      <c r="AL28" s="4"/>
    </row>
    <row r="29" spans="1:77" x14ac:dyDescent="0.25">
      <c r="A29" s="7">
        <v>13</v>
      </c>
      <c r="B29" s="12"/>
      <c r="C29" s="13"/>
      <c r="D29" s="12"/>
      <c r="N29" s="4"/>
      <c r="O29" s="4"/>
      <c r="P29" s="4"/>
      <c r="Q29" s="4"/>
      <c r="R29" s="4"/>
      <c r="S29" s="4"/>
      <c r="T29" s="4"/>
      <c r="U29" s="4"/>
      <c r="V29" s="4"/>
      <c r="W29" s="4"/>
      <c r="X29" s="4"/>
      <c r="Y29" s="4"/>
      <c r="Z29" s="4"/>
      <c r="AA29" s="4"/>
      <c r="AB29" s="4"/>
      <c r="AC29" s="4"/>
      <c r="AD29" s="4"/>
      <c r="AE29" s="4"/>
      <c r="AF29" s="4"/>
      <c r="AG29" s="4"/>
      <c r="AH29" s="4"/>
      <c r="AI29" s="4"/>
      <c r="AJ29" s="4"/>
      <c r="AL29" s="4"/>
    </row>
    <row r="30" spans="1:77" x14ac:dyDescent="0.25">
      <c r="A30" s="7">
        <v>14</v>
      </c>
      <c r="B30" s="12"/>
      <c r="C30" s="13"/>
      <c r="D30" s="12"/>
      <c r="N30" s="4"/>
      <c r="O30" s="4"/>
      <c r="P30" s="4"/>
      <c r="Q30" s="4"/>
      <c r="R30" s="4"/>
      <c r="S30" s="4"/>
      <c r="T30" s="4"/>
      <c r="U30" s="4"/>
      <c r="V30" s="4"/>
      <c r="W30" s="4"/>
      <c r="X30" s="4"/>
      <c r="Y30" s="4"/>
      <c r="Z30" s="4"/>
      <c r="AA30" s="4"/>
      <c r="AB30" s="4"/>
      <c r="AC30" s="4"/>
      <c r="AD30" s="4"/>
      <c r="AE30" s="4"/>
      <c r="AF30" s="4"/>
      <c r="AG30" s="4"/>
      <c r="AH30" s="4"/>
      <c r="AI30" s="4"/>
      <c r="AJ30" s="4"/>
      <c r="AL30" s="4"/>
    </row>
    <row r="31" spans="1:77" x14ac:dyDescent="0.25">
      <c r="A31" s="7">
        <v>15</v>
      </c>
      <c r="B31" s="12"/>
      <c r="C31" s="13"/>
      <c r="D31" s="17"/>
      <c r="N31" s="4"/>
      <c r="O31" s="4"/>
      <c r="P31" s="4"/>
      <c r="Q31" s="4"/>
      <c r="R31" s="4"/>
      <c r="S31" s="4"/>
      <c r="T31" s="4"/>
      <c r="U31" s="4"/>
      <c r="V31" s="4"/>
      <c r="W31" s="4"/>
      <c r="X31" s="4"/>
      <c r="Y31" s="4"/>
      <c r="Z31" s="4"/>
      <c r="AA31" s="4"/>
      <c r="AB31" s="4"/>
      <c r="AC31" s="4"/>
      <c r="AD31" s="4"/>
      <c r="AE31" s="4"/>
      <c r="AF31" s="4"/>
      <c r="AG31" s="4"/>
      <c r="AH31" s="4"/>
      <c r="AI31" s="4"/>
      <c r="AJ31" s="4"/>
      <c r="AL31" s="4"/>
    </row>
    <row r="32" spans="1:77" ht="15.75" thickBot="1" x14ac:dyDescent="0.3">
      <c r="A32" s="7">
        <v>16</v>
      </c>
      <c r="B32" s="12"/>
      <c r="C32" s="13"/>
      <c r="D32" s="12"/>
      <c r="G32" s="41">
        <v>1451000136</v>
      </c>
      <c r="H32" s="42" t="s">
        <v>75</v>
      </c>
      <c r="N32" s="4"/>
      <c r="O32" s="4"/>
      <c r="P32" s="4"/>
      <c r="Q32" s="4"/>
      <c r="R32" s="4"/>
      <c r="S32" s="4"/>
      <c r="T32" s="4"/>
      <c r="U32" s="4"/>
      <c r="V32" s="4"/>
      <c r="W32" s="4"/>
      <c r="X32" s="4"/>
      <c r="Y32" s="4"/>
      <c r="Z32" s="4"/>
      <c r="AA32" s="4"/>
      <c r="AB32" s="4"/>
      <c r="AC32" s="4"/>
      <c r="AD32" s="4"/>
      <c r="AE32" s="4"/>
      <c r="AF32" s="4"/>
      <c r="AG32" s="4"/>
      <c r="AH32" s="4"/>
      <c r="AI32" s="4"/>
      <c r="AJ32" s="4"/>
      <c r="AL32" s="4"/>
    </row>
    <row r="33" spans="1:38" ht="15.75" thickBot="1" x14ac:dyDescent="0.3">
      <c r="A33" s="7">
        <v>17</v>
      </c>
      <c r="B33" s="12"/>
      <c r="C33" s="13"/>
      <c r="D33" s="12"/>
      <c r="G33" s="41">
        <v>1330180077</v>
      </c>
      <c r="H33" s="42" t="s">
        <v>76</v>
      </c>
      <c r="N33" s="4"/>
      <c r="O33" s="4"/>
      <c r="P33" s="4"/>
      <c r="Q33" s="4"/>
      <c r="R33" s="4"/>
      <c r="S33" s="4"/>
      <c r="T33" s="4"/>
      <c r="U33" s="4"/>
      <c r="V33" s="4"/>
      <c r="W33" s="4"/>
      <c r="X33" s="4"/>
      <c r="Y33" s="4"/>
      <c r="Z33" s="4"/>
      <c r="AA33" s="4"/>
      <c r="AB33" s="4"/>
      <c r="AC33" s="4"/>
      <c r="AD33" s="4"/>
      <c r="AE33" s="4"/>
      <c r="AF33" s="4"/>
      <c r="AG33" s="4"/>
      <c r="AH33" s="4"/>
      <c r="AI33" s="4"/>
      <c r="AJ33" s="4"/>
      <c r="AL33" s="4"/>
    </row>
    <row r="34" spans="1:38" ht="15.75" thickBot="1" x14ac:dyDescent="0.3">
      <c r="A34" s="7">
        <v>18</v>
      </c>
      <c r="B34" s="12"/>
      <c r="C34" s="13"/>
      <c r="D34" s="12"/>
      <c r="G34" s="41">
        <v>1330180074</v>
      </c>
      <c r="H34" s="42">
        <f>22</f>
        <v>22</v>
      </c>
      <c r="N34" s="4"/>
      <c r="O34" s="4"/>
      <c r="P34" s="4"/>
      <c r="Q34" s="4"/>
      <c r="R34" s="4"/>
      <c r="S34" s="4"/>
      <c r="T34" s="4"/>
      <c r="U34" s="4"/>
      <c r="V34" s="4"/>
      <c r="W34" s="4"/>
      <c r="X34" s="4"/>
      <c r="Y34" s="4"/>
      <c r="Z34" s="4"/>
      <c r="AA34" s="4"/>
      <c r="AB34" s="4"/>
      <c r="AC34" s="4"/>
      <c r="AD34" s="4"/>
      <c r="AE34" s="4"/>
      <c r="AF34" s="4"/>
      <c r="AG34" s="4"/>
      <c r="AH34" s="4"/>
      <c r="AI34" s="4"/>
      <c r="AJ34" s="4"/>
      <c r="AL34" s="4"/>
    </row>
    <row r="35" spans="1:38" ht="15.75" thickBot="1" x14ac:dyDescent="0.3">
      <c r="A35" s="7">
        <v>19</v>
      </c>
      <c r="B35" s="12"/>
      <c r="C35" s="13"/>
      <c r="D35" s="12"/>
      <c r="G35" s="41">
        <v>1330180030</v>
      </c>
      <c r="H35" s="42">
        <f>1500</f>
        <v>1500</v>
      </c>
      <c r="N35" s="4"/>
      <c r="O35" s="4"/>
      <c r="P35" s="4"/>
      <c r="Q35" s="4"/>
      <c r="R35" s="4"/>
      <c r="S35" s="4"/>
      <c r="T35" s="4"/>
      <c r="U35" s="4"/>
      <c r="V35" s="4"/>
      <c r="W35" s="4"/>
      <c r="X35" s="4"/>
      <c r="Y35" s="4"/>
      <c r="Z35" s="4"/>
      <c r="AA35" s="4"/>
      <c r="AB35" s="4"/>
      <c r="AC35" s="4"/>
      <c r="AD35" s="4"/>
      <c r="AE35" s="4"/>
      <c r="AF35" s="4"/>
      <c r="AG35" s="4"/>
      <c r="AH35" s="4"/>
      <c r="AI35" s="4"/>
      <c r="AJ35" s="4"/>
      <c r="AL35" s="4"/>
    </row>
    <row r="36" spans="1:38" ht="15.75" thickBot="1" x14ac:dyDescent="0.3">
      <c r="A36" s="7">
        <v>20</v>
      </c>
      <c r="B36" s="12"/>
      <c r="C36" s="13"/>
      <c r="D36" s="12"/>
      <c r="G36" s="41">
        <v>1330170084</v>
      </c>
      <c r="H36" s="42" t="s">
        <v>77</v>
      </c>
      <c r="N36" s="4"/>
      <c r="O36" s="4"/>
      <c r="P36" s="4"/>
      <c r="Q36" s="4"/>
      <c r="R36" s="4"/>
      <c r="S36" s="4"/>
      <c r="T36" s="4"/>
      <c r="U36" s="4"/>
      <c r="V36" s="4"/>
      <c r="W36" s="4"/>
      <c r="X36" s="4"/>
      <c r="Y36" s="4"/>
      <c r="Z36" s="4"/>
      <c r="AA36" s="4"/>
      <c r="AB36" s="4"/>
      <c r="AC36" s="4"/>
      <c r="AD36" s="4"/>
      <c r="AE36" s="4"/>
      <c r="AF36" s="4"/>
      <c r="AG36" s="4"/>
      <c r="AH36" s="4"/>
      <c r="AI36" s="4"/>
      <c r="AJ36" s="4"/>
      <c r="AL36" s="4"/>
    </row>
    <row r="37" spans="1:38" ht="15.75" thickBot="1" x14ac:dyDescent="0.3">
      <c r="A37" s="7">
        <v>21</v>
      </c>
      <c r="B37" s="12"/>
      <c r="C37" s="13"/>
      <c r="D37" s="12"/>
      <c r="G37" s="41">
        <v>1330170085</v>
      </c>
      <c r="H37" s="42" t="s">
        <v>78</v>
      </c>
      <c r="N37" s="4"/>
      <c r="O37" s="4"/>
      <c r="P37" s="4"/>
      <c r="Q37" s="4"/>
      <c r="R37" s="4"/>
      <c r="S37" s="4"/>
      <c r="T37" s="4"/>
      <c r="U37" s="4"/>
      <c r="V37" s="4"/>
      <c r="W37" s="4"/>
      <c r="X37" s="4"/>
      <c r="Y37" s="4"/>
      <c r="Z37" s="4"/>
      <c r="AA37" s="4"/>
      <c r="AB37" s="4"/>
      <c r="AC37" s="4"/>
      <c r="AD37" s="4"/>
      <c r="AE37" s="4"/>
      <c r="AF37" s="4"/>
      <c r="AG37" s="4"/>
      <c r="AH37" s="4"/>
      <c r="AI37" s="4"/>
      <c r="AJ37" s="4"/>
      <c r="AL37" s="4"/>
    </row>
    <row r="38" spans="1:38" ht="15.75" thickBot="1" x14ac:dyDescent="0.3">
      <c r="A38" s="7">
        <v>22</v>
      </c>
      <c r="B38" s="12"/>
      <c r="C38" s="13"/>
      <c r="D38" s="12"/>
      <c r="G38" s="41">
        <v>1330180025</v>
      </c>
      <c r="H38" s="43" t="s">
        <v>79</v>
      </c>
      <c r="N38" s="4"/>
      <c r="O38" s="4"/>
      <c r="P38" s="4"/>
      <c r="Q38" s="4"/>
      <c r="R38" s="4"/>
      <c r="S38" s="4"/>
      <c r="T38" s="4"/>
      <c r="U38" s="4"/>
      <c r="V38" s="4"/>
      <c r="W38" s="4"/>
      <c r="X38" s="4"/>
      <c r="Y38" s="4"/>
      <c r="Z38" s="4"/>
      <c r="AA38" s="4"/>
      <c r="AB38" s="4"/>
      <c r="AC38" s="4"/>
      <c r="AD38" s="4"/>
      <c r="AE38" s="4"/>
      <c r="AF38" s="4"/>
      <c r="AG38" s="4"/>
      <c r="AH38" s="4"/>
      <c r="AI38" s="4"/>
      <c r="AJ38" s="4"/>
      <c r="AL38" s="4"/>
    </row>
    <row r="39" spans="1:38" ht="15.75" thickBot="1" x14ac:dyDescent="0.3">
      <c r="A39" s="7">
        <v>23</v>
      </c>
      <c r="B39" s="12"/>
      <c r="C39" s="13"/>
      <c r="D39" s="12"/>
      <c r="G39" s="41">
        <v>1330180028</v>
      </c>
      <c r="H39" s="43">
        <f>190</f>
        <v>190</v>
      </c>
      <c r="N39" s="4"/>
      <c r="O39" s="4"/>
      <c r="P39" s="4"/>
      <c r="Q39" s="4"/>
      <c r="R39" s="4"/>
      <c r="S39" s="4"/>
      <c r="T39" s="4"/>
      <c r="U39" s="4"/>
      <c r="V39" s="4"/>
      <c r="W39" s="4"/>
      <c r="X39" s="4"/>
      <c r="Y39" s="4"/>
      <c r="Z39" s="4"/>
      <c r="AA39" s="4"/>
      <c r="AB39" s="4"/>
      <c r="AC39" s="4"/>
      <c r="AD39" s="4"/>
      <c r="AE39" s="4"/>
      <c r="AF39" s="4"/>
      <c r="AG39" s="4"/>
      <c r="AH39" s="4"/>
      <c r="AI39" s="4"/>
      <c r="AJ39" s="4"/>
      <c r="AL39" s="4"/>
    </row>
    <row r="40" spans="1:38" ht="15.75" thickBot="1" x14ac:dyDescent="0.3">
      <c r="A40" s="7">
        <v>24</v>
      </c>
      <c r="B40" s="12"/>
      <c r="C40" s="13"/>
      <c r="D40" s="12"/>
      <c r="G40" s="41">
        <v>1330180068</v>
      </c>
      <c r="H40" s="43" t="s">
        <v>80</v>
      </c>
      <c r="N40" s="4"/>
      <c r="O40" s="4"/>
      <c r="P40" s="4"/>
      <c r="Q40" s="4"/>
      <c r="AD40" s="4"/>
      <c r="AE40" s="4"/>
      <c r="AF40" s="4"/>
      <c r="AG40" s="4"/>
      <c r="AH40" s="4"/>
      <c r="AI40" s="4"/>
      <c r="AJ40" s="4"/>
      <c r="AL40" s="4"/>
    </row>
    <row r="41" spans="1:38" x14ac:dyDescent="0.25">
      <c r="A41" s="7">
        <v>25</v>
      </c>
      <c r="B41" s="12"/>
      <c r="C41" s="13"/>
      <c r="D41" s="12"/>
      <c r="N41" s="4"/>
      <c r="O41" s="4"/>
      <c r="P41" s="4"/>
      <c r="Q41" s="4"/>
      <c r="AD41" s="4"/>
      <c r="AE41" s="4"/>
      <c r="AF41" s="4"/>
      <c r="AG41" s="4"/>
      <c r="AH41" s="4"/>
      <c r="AI41" s="4"/>
      <c r="AJ41" s="4"/>
      <c r="AL41" s="4"/>
    </row>
    <row r="42" spans="1:38" x14ac:dyDescent="0.25">
      <c r="A42" s="7">
        <v>26</v>
      </c>
      <c r="B42" s="12"/>
      <c r="C42" s="13"/>
      <c r="D42" s="12"/>
      <c r="N42" s="4"/>
      <c r="O42" s="4"/>
      <c r="P42" s="4"/>
      <c r="Q42" s="4"/>
      <c r="AD42" s="4"/>
      <c r="AE42" s="4"/>
      <c r="AF42" s="4"/>
      <c r="AG42" s="4"/>
      <c r="AH42" s="4"/>
      <c r="AI42" s="4"/>
      <c r="AJ42" s="4"/>
      <c r="AL42" s="4"/>
    </row>
    <row r="43" spans="1:38" x14ac:dyDescent="0.25">
      <c r="A43" s="7">
        <v>27</v>
      </c>
      <c r="B43" s="12"/>
      <c r="C43" s="13"/>
      <c r="D43" s="12"/>
      <c r="N43" s="4"/>
      <c r="O43" s="4"/>
      <c r="P43" s="4"/>
      <c r="Q43" s="4"/>
      <c r="AD43" s="4"/>
      <c r="AE43" s="4"/>
      <c r="AF43" s="4"/>
      <c r="AG43" s="4"/>
      <c r="AH43" s="4"/>
      <c r="AI43" s="4"/>
      <c r="AJ43" s="4"/>
      <c r="AL43" s="4"/>
    </row>
    <row r="44" spans="1:38" x14ac:dyDescent="0.25">
      <c r="A44" s="7">
        <v>28</v>
      </c>
      <c r="B44" s="12"/>
      <c r="C44" s="13"/>
      <c r="D44" s="12"/>
      <c r="N44" s="4"/>
      <c r="O44" s="4"/>
      <c r="P44" s="4"/>
      <c r="Q44" s="4"/>
      <c r="AD44" s="4"/>
      <c r="AE44" s="4"/>
      <c r="AF44" s="4"/>
      <c r="AG44" s="4"/>
      <c r="AH44" s="4"/>
      <c r="AI44" s="4"/>
      <c r="AJ44" s="4"/>
      <c r="AL44" s="4"/>
    </row>
    <row r="45" spans="1:38" x14ac:dyDescent="0.25">
      <c r="A45" s="7">
        <v>29</v>
      </c>
      <c r="B45" s="12"/>
      <c r="C45" s="13"/>
      <c r="D45" s="12"/>
      <c r="N45" s="4"/>
      <c r="O45" s="4"/>
      <c r="P45" s="4"/>
      <c r="Q45" s="4"/>
      <c r="AD45" s="4"/>
      <c r="AE45" s="4"/>
      <c r="AF45" s="4"/>
      <c r="AG45" s="4"/>
      <c r="AH45" s="4"/>
      <c r="AI45" s="4"/>
      <c r="AJ45" s="4"/>
      <c r="AL45" s="4"/>
    </row>
    <row r="46" spans="1:38" x14ac:dyDescent="0.25">
      <c r="A46" s="7">
        <v>30</v>
      </c>
      <c r="B46" s="12"/>
      <c r="C46" s="13"/>
      <c r="D46" s="12"/>
      <c r="N46" s="4"/>
      <c r="O46" s="4"/>
      <c r="P46" s="4"/>
      <c r="Q46" s="4"/>
      <c r="AD46" s="4"/>
      <c r="AE46" s="4"/>
      <c r="AF46" s="4"/>
      <c r="AG46" s="4"/>
      <c r="AH46" s="4"/>
      <c r="AI46" s="4"/>
      <c r="AJ46" s="4"/>
      <c r="AL46" s="4"/>
    </row>
    <row r="47" spans="1:38" x14ac:dyDescent="0.25">
      <c r="A47" s="7">
        <v>31</v>
      </c>
      <c r="B47" s="12"/>
      <c r="C47" s="13"/>
      <c r="D47" s="12"/>
    </row>
    <row r="48" spans="1:38"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5" x14ac:dyDescent="0.25">
      <c r="A65" s="7">
        <v>49</v>
      </c>
      <c r="B65" s="12"/>
      <c r="C65" s="13"/>
      <c r="D65" s="12"/>
    </row>
    <row r="66" spans="1:5" x14ac:dyDescent="0.25">
      <c r="A66" s="7">
        <v>50</v>
      </c>
      <c r="B66" s="12"/>
      <c r="C66" s="13"/>
      <c r="D66" s="12"/>
    </row>
    <row r="69" spans="1:5" x14ac:dyDescent="0.25">
      <c r="A69" s="7" t="s">
        <v>0</v>
      </c>
      <c r="B69" s="7" t="s">
        <v>1</v>
      </c>
      <c r="C69" s="46" t="s">
        <v>102</v>
      </c>
      <c r="D69" s="47" t="s">
        <v>118</v>
      </c>
      <c r="E69" s="47" t="s">
        <v>120</v>
      </c>
    </row>
    <row r="70" spans="1:5" x14ac:dyDescent="0.25">
      <c r="A70" s="28" t="s">
        <v>657</v>
      </c>
      <c r="B70" s="29" t="s">
        <v>105</v>
      </c>
      <c r="C70" s="3" t="s">
        <v>29</v>
      </c>
      <c r="E70" s="3" t="s">
        <v>48</v>
      </c>
    </row>
    <row r="71" spans="1:5" x14ac:dyDescent="0.25">
      <c r="A71" s="28"/>
      <c r="B71" s="29" t="s">
        <v>106</v>
      </c>
      <c r="C71" s="3" t="s">
        <v>33</v>
      </c>
      <c r="E71" s="3" t="s">
        <v>2</v>
      </c>
    </row>
    <row r="72" spans="1:5" x14ac:dyDescent="0.25">
      <c r="A72" s="28"/>
      <c r="B72" s="29" t="s">
        <v>107</v>
      </c>
      <c r="C72" s="3" t="s">
        <v>47</v>
      </c>
    </row>
    <row r="73" spans="1:5" x14ac:dyDescent="0.25">
      <c r="A73" s="28"/>
      <c r="B73" s="29" t="s">
        <v>108</v>
      </c>
      <c r="C73" s="3" t="s">
        <v>36</v>
      </c>
    </row>
    <row r="74" spans="1:5" x14ac:dyDescent="0.25">
      <c r="A74" s="28"/>
      <c r="B74" s="29" t="s">
        <v>109</v>
      </c>
    </row>
    <row r="75" spans="1:5" x14ac:dyDescent="0.25">
      <c r="A75" s="28"/>
      <c r="B75" s="29" t="s">
        <v>110</v>
      </c>
    </row>
    <row r="76" spans="1:5" x14ac:dyDescent="0.25">
      <c r="A76" s="28"/>
      <c r="B76" s="29" t="s">
        <v>111</v>
      </c>
    </row>
    <row r="77" spans="1:5" x14ac:dyDescent="0.25">
      <c r="A77" s="28"/>
      <c r="B77" s="29" t="s">
        <v>112</v>
      </c>
    </row>
    <row r="78" spans="1:5" x14ac:dyDescent="0.25">
      <c r="A78" s="28"/>
      <c r="B78" s="29" t="s">
        <v>113</v>
      </c>
    </row>
    <row r="79" spans="1:5" x14ac:dyDescent="0.25">
      <c r="A79" s="28"/>
      <c r="B79" s="29" t="s">
        <v>114</v>
      </c>
    </row>
    <row r="80" spans="1:5" x14ac:dyDescent="0.25">
      <c r="B80" s="29" t="s">
        <v>115</v>
      </c>
    </row>
    <row r="81" spans="2:2" x14ac:dyDescent="0.25">
      <c r="B81" s="29" t="s">
        <v>116</v>
      </c>
    </row>
    <row r="82" spans="2:2" x14ac:dyDescent="0.25">
      <c r="B82" s="29" t="s">
        <v>117</v>
      </c>
    </row>
  </sheetData>
  <mergeCells count="2">
    <mergeCell ref="B15:D15"/>
    <mergeCell ref="B1:F1"/>
  </mergeCells>
  <dataValidations count="3">
    <dataValidation type="list" allowBlank="1" showInputMessage="1" showErrorMessage="1" sqref="M14:M17 M4:M12">
      <formula1>$A$70:$A$85</formula1>
    </dataValidation>
    <dataValidation type="list" allowBlank="1" showInputMessage="1" showErrorMessage="1" sqref="Q4:Q9">
      <formula1>$E$70:$E$71</formula1>
    </dataValidation>
    <dataValidation type="list" allowBlank="1" showInputMessage="1" showErrorMessage="1" sqref="N4:N9">
      <formula1>$B$70:$B$82</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1002"/>
  <sheetViews>
    <sheetView workbookViewId="0">
      <selection activeCell="E12" sqref="E12"/>
    </sheetView>
  </sheetViews>
  <sheetFormatPr defaultColWidth="4.85546875" defaultRowHeight="15" x14ac:dyDescent="0.25"/>
  <sheetData>
    <row r="1" spans="1:24" s="3" customFormat="1" x14ac:dyDescent="0.25"/>
    <row r="2" spans="1:24" x14ac:dyDescent="0.25">
      <c r="A2" s="1"/>
      <c r="B2" s="1"/>
      <c r="C2" s="1"/>
      <c r="D2" s="1"/>
      <c r="E2" s="1"/>
      <c r="F2" s="1"/>
      <c r="G2" s="1"/>
      <c r="H2" s="1"/>
      <c r="I2" s="1"/>
      <c r="J2" s="1"/>
      <c r="K2" s="1"/>
      <c r="L2" s="1"/>
      <c r="M2" s="1"/>
      <c r="N2" s="1"/>
      <c r="O2" s="1"/>
      <c r="P2" s="1"/>
      <c r="Q2" s="1"/>
      <c r="R2" s="1"/>
      <c r="S2" s="1"/>
      <c r="T2" s="1"/>
      <c r="U2" s="1"/>
    </row>
    <row r="3" spans="1:24" x14ac:dyDescent="0.25">
      <c r="A3" s="1" t="s">
        <v>29</v>
      </c>
      <c r="B3" s="1" t="s">
        <v>137</v>
      </c>
      <c r="C3" s="1" t="s">
        <v>104</v>
      </c>
      <c r="D3" s="1" t="s">
        <v>105</v>
      </c>
      <c r="E3" s="1" t="s">
        <v>139</v>
      </c>
      <c r="F3" s="1" t="s">
        <v>140</v>
      </c>
      <c r="G3" s="1" t="s">
        <v>29</v>
      </c>
      <c r="H3" s="1" t="s">
        <v>141</v>
      </c>
      <c r="I3" s="1" t="s">
        <v>90</v>
      </c>
      <c r="J3" s="1" t="s">
        <v>48</v>
      </c>
      <c r="K3" s="1" t="s">
        <v>142</v>
      </c>
      <c r="L3" s="1" t="s">
        <v>123</v>
      </c>
      <c r="M3" s="1" t="s">
        <v>142</v>
      </c>
      <c r="N3" s="1" t="s">
        <v>126</v>
      </c>
      <c r="O3" s="1" t="s">
        <v>128</v>
      </c>
      <c r="P3" s="1" t="s">
        <v>130</v>
      </c>
      <c r="Q3" s="1" t="s">
        <v>86</v>
      </c>
      <c r="R3" s="1" t="s">
        <v>50</v>
      </c>
      <c r="S3" s="1" t="s">
        <v>656</v>
      </c>
      <c r="T3" s="1" t="s">
        <v>34</v>
      </c>
      <c r="U3" s="1" t="s">
        <v>44</v>
      </c>
      <c r="V3" s="1" t="s">
        <v>34</v>
      </c>
      <c r="W3" s="44"/>
      <c r="X3" s="44"/>
    </row>
    <row r="4" spans="1:24" x14ac:dyDescent="0.25">
      <c r="A4" s="1" t="s">
        <v>29</v>
      </c>
      <c r="B4" s="1" t="s">
        <v>143</v>
      </c>
      <c r="C4" s="1" t="s">
        <v>104</v>
      </c>
      <c r="D4" s="1" t="s">
        <v>105</v>
      </c>
      <c r="E4" s="1" t="s">
        <v>144</v>
      </c>
      <c r="F4" s="1" t="s">
        <v>145</v>
      </c>
      <c r="G4" s="1" t="s">
        <v>29</v>
      </c>
      <c r="H4" s="1" t="s">
        <v>141</v>
      </c>
      <c r="I4" s="1" t="s">
        <v>90</v>
      </c>
      <c r="J4" s="1" t="s">
        <v>48</v>
      </c>
      <c r="K4" s="1" t="s">
        <v>142</v>
      </c>
      <c r="L4" s="1" t="s">
        <v>123</v>
      </c>
      <c r="M4" s="1" t="s">
        <v>142</v>
      </c>
      <c r="N4" s="1" t="s">
        <v>126</v>
      </c>
      <c r="O4" s="1" t="s">
        <v>128</v>
      </c>
      <c r="P4" s="1" t="s">
        <v>130</v>
      </c>
      <c r="Q4" s="1" t="s">
        <v>86</v>
      </c>
      <c r="R4" s="1" t="s">
        <v>50</v>
      </c>
      <c r="S4" s="1" t="s">
        <v>656</v>
      </c>
      <c r="T4" s="1" t="s">
        <v>34</v>
      </c>
      <c r="U4" s="1" t="s">
        <v>44</v>
      </c>
      <c r="V4" s="1" t="s">
        <v>34</v>
      </c>
      <c r="X4" s="44"/>
    </row>
    <row r="5" spans="1:24" x14ac:dyDescent="0.25">
      <c r="A5" s="1" t="s">
        <v>29</v>
      </c>
      <c r="B5" s="1" t="s">
        <v>146</v>
      </c>
      <c r="C5" s="1" t="s">
        <v>104</v>
      </c>
      <c r="D5" s="1" t="s">
        <v>105</v>
      </c>
      <c r="E5" s="1" t="s">
        <v>147</v>
      </c>
      <c r="F5" s="1" t="s">
        <v>148</v>
      </c>
      <c r="G5" s="1" t="s">
        <v>29</v>
      </c>
      <c r="H5" s="1" t="s">
        <v>141</v>
      </c>
      <c r="I5" s="1" t="s">
        <v>90</v>
      </c>
      <c r="J5" s="1" t="s">
        <v>48</v>
      </c>
      <c r="K5" s="1" t="s">
        <v>142</v>
      </c>
      <c r="L5" s="1" t="s">
        <v>123</v>
      </c>
      <c r="M5" s="1" t="s">
        <v>142</v>
      </c>
      <c r="N5" s="1" t="s">
        <v>126</v>
      </c>
      <c r="O5" s="1" t="s">
        <v>128</v>
      </c>
      <c r="P5" s="1" t="s">
        <v>130</v>
      </c>
      <c r="Q5" s="1" t="s">
        <v>86</v>
      </c>
      <c r="R5" s="1" t="s">
        <v>50</v>
      </c>
      <c r="S5" s="1" t="s">
        <v>656</v>
      </c>
      <c r="T5" s="1" t="s">
        <v>34</v>
      </c>
      <c r="U5" s="1" t="s">
        <v>44</v>
      </c>
      <c r="V5" s="1" t="s">
        <v>34</v>
      </c>
      <c r="X5" s="44"/>
    </row>
    <row r="6" spans="1:24" x14ac:dyDescent="0.25">
      <c r="A6" s="1" t="s">
        <v>29</v>
      </c>
      <c r="B6" s="1" t="s">
        <v>149</v>
      </c>
      <c r="C6" s="1" t="s">
        <v>104</v>
      </c>
      <c r="D6" s="1" t="s">
        <v>105</v>
      </c>
      <c r="E6" s="1" t="s">
        <v>150</v>
      </c>
      <c r="F6" s="1" t="s">
        <v>151</v>
      </c>
      <c r="G6" s="1" t="s">
        <v>29</v>
      </c>
      <c r="H6" s="1" t="s">
        <v>141</v>
      </c>
      <c r="I6" s="1" t="s">
        <v>90</v>
      </c>
      <c r="J6" s="1" t="s">
        <v>48</v>
      </c>
      <c r="K6" s="1" t="s">
        <v>142</v>
      </c>
      <c r="L6" s="1" t="s">
        <v>123</v>
      </c>
      <c r="M6" s="1" t="s">
        <v>142</v>
      </c>
      <c r="N6" s="1" t="s">
        <v>126</v>
      </c>
      <c r="O6" s="1" t="s">
        <v>128</v>
      </c>
      <c r="P6" s="1" t="s">
        <v>130</v>
      </c>
      <c r="Q6" s="1" t="s">
        <v>86</v>
      </c>
      <c r="R6" s="1" t="s">
        <v>50</v>
      </c>
      <c r="S6" s="1" t="s">
        <v>656</v>
      </c>
      <c r="T6" s="1" t="s">
        <v>34</v>
      </c>
      <c r="U6" s="1" t="s">
        <v>44</v>
      </c>
      <c r="V6" s="1" t="s">
        <v>34</v>
      </c>
      <c r="X6" s="44"/>
    </row>
    <row r="7" spans="1:24" x14ac:dyDescent="0.25">
      <c r="A7" s="1" t="s">
        <v>29</v>
      </c>
      <c r="B7" s="1" t="s">
        <v>152</v>
      </c>
      <c r="C7" s="1" t="s">
        <v>104</v>
      </c>
      <c r="D7" s="1" t="s">
        <v>105</v>
      </c>
      <c r="E7" s="1" t="s">
        <v>153</v>
      </c>
      <c r="F7" s="1" t="s">
        <v>154</v>
      </c>
      <c r="G7" s="1" t="s">
        <v>29</v>
      </c>
      <c r="H7" s="1" t="s">
        <v>141</v>
      </c>
      <c r="I7" s="1" t="s">
        <v>90</v>
      </c>
      <c r="J7" s="1" t="s">
        <v>48</v>
      </c>
      <c r="K7" s="1" t="s">
        <v>142</v>
      </c>
      <c r="L7" s="1" t="s">
        <v>123</v>
      </c>
      <c r="M7" s="1" t="s">
        <v>142</v>
      </c>
      <c r="N7" s="1" t="s">
        <v>126</v>
      </c>
      <c r="O7" s="1" t="s">
        <v>128</v>
      </c>
      <c r="P7" s="1" t="s">
        <v>130</v>
      </c>
      <c r="Q7" s="1" t="s">
        <v>86</v>
      </c>
      <c r="R7" s="1" t="s">
        <v>50</v>
      </c>
      <c r="S7" s="1" t="s">
        <v>656</v>
      </c>
      <c r="T7" s="1" t="s">
        <v>34</v>
      </c>
      <c r="U7" s="1" t="s">
        <v>44</v>
      </c>
      <c r="V7" s="1" t="s">
        <v>34</v>
      </c>
      <c r="X7" s="44"/>
    </row>
    <row r="8" spans="1:24" x14ac:dyDescent="0.25">
      <c r="A8" s="1" t="s">
        <v>29</v>
      </c>
      <c r="B8" s="1" t="s">
        <v>155</v>
      </c>
      <c r="C8" s="1" t="s">
        <v>104</v>
      </c>
      <c r="D8" s="1" t="s">
        <v>105</v>
      </c>
      <c r="E8" s="1" t="s">
        <v>156</v>
      </c>
      <c r="F8" s="1" t="s">
        <v>157</v>
      </c>
      <c r="G8" s="1" t="s">
        <v>29</v>
      </c>
      <c r="H8" s="1" t="s">
        <v>141</v>
      </c>
      <c r="I8" s="1" t="s">
        <v>90</v>
      </c>
      <c r="J8" s="1" t="s">
        <v>48</v>
      </c>
      <c r="K8" s="1" t="s">
        <v>142</v>
      </c>
      <c r="L8" s="1" t="s">
        <v>123</v>
      </c>
      <c r="M8" s="1" t="s">
        <v>142</v>
      </c>
      <c r="N8" s="1" t="s">
        <v>126</v>
      </c>
      <c r="O8" s="1" t="s">
        <v>128</v>
      </c>
      <c r="P8" s="1" t="s">
        <v>130</v>
      </c>
      <c r="Q8" s="1" t="s">
        <v>86</v>
      </c>
      <c r="R8" s="1" t="s">
        <v>50</v>
      </c>
      <c r="S8" s="1" t="s">
        <v>656</v>
      </c>
      <c r="T8" s="1" t="s">
        <v>34</v>
      </c>
      <c r="U8" s="1" t="s">
        <v>44</v>
      </c>
      <c r="V8" s="1" t="s">
        <v>34</v>
      </c>
      <c r="X8" s="44"/>
    </row>
    <row r="9" spans="1:24" x14ac:dyDescent="0.25">
      <c r="A9" s="1" t="s">
        <v>29</v>
      </c>
      <c r="B9" s="1" t="s">
        <v>158</v>
      </c>
      <c r="C9" s="1" t="s">
        <v>104</v>
      </c>
      <c r="D9" s="1" t="s">
        <v>105</v>
      </c>
      <c r="E9" s="1" t="s">
        <v>159</v>
      </c>
      <c r="F9" s="1" t="s">
        <v>160</v>
      </c>
      <c r="G9" s="1" t="s">
        <v>29</v>
      </c>
      <c r="H9" s="1" t="s">
        <v>141</v>
      </c>
      <c r="I9" s="1" t="s">
        <v>90</v>
      </c>
      <c r="J9" s="1" t="s">
        <v>48</v>
      </c>
      <c r="K9" s="1" t="s">
        <v>142</v>
      </c>
      <c r="L9" s="1" t="s">
        <v>123</v>
      </c>
      <c r="M9" s="1" t="s">
        <v>142</v>
      </c>
      <c r="N9" s="1" t="s">
        <v>126</v>
      </c>
      <c r="O9" s="1" t="s">
        <v>128</v>
      </c>
      <c r="P9" s="1" t="s">
        <v>130</v>
      </c>
      <c r="Q9" s="1" t="s">
        <v>86</v>
      </c>
      <c r="R9" s="1" t="s">
        <v>50</v>
      </c>
      <c r="S9" s="1" t="s">
        <v>656</v>
      </c>
      <c r="T9" s="1" t="s">
        <v>34</v>
      </c>
      <c r="U9" s="1" t="s">
        <v>44</v>
      </c>
      <c r="V9" s="1" t="s">
        <v>34</v>
      </c>
      <c r="X9" s="44"/>
    </row>
    <row r="10" spans="1:24" x14ac:dyDescent="0.25">
      <c r="A10" s="1" t="s">
        <v>29</v>
      </c>
      <c r="B10" s="1" t="s">
        <v>161</v>
      </c>
      <c r="C10" s="1" t="s">
        <v>104</v>
      </c>
      <c r="D10" s="1" t="s">
        <v>105</v>
      </c>
      <c r="E10" s="1" t="s">
        <v>162</v>
      </c>
      <c r="F10" s="1" t="s">
        <v>163</v>
      </c>
      <c r="G10" s="1" t="s">
        <v>29</v>
      </c>
      <c r="H10" s="1" t="s">
        <v>141</v>
      </c>
      <c r="I10" s="1" t="s">
        <v>90</v>
      </c>
      <c r="J10" s="1" t="s">
        <v>48</v>
      </c>
      <c r="K10" s="1" t="s">
        <v>142</v>
      </c>
      <c r="L10" s="1" t="s">
        <v>123</v>
      </c>
      <c r="M10" s="1" t="s">
        <v>142</v>
      </c>
      <c r="N10" s="1" t="s">
        <v>126</v>
      </c>
      <c r="O10" s="1" t="s">
        <v>128</v>
      </c>
      <c r="P10" s="1" t="s">
        <v>130</v>
      </c>
      <c r="Q10" s="1" t="s">
        <v>86</v>
      </c>
      <c r="R10" s="1" t="s">
        <v>50</v>
      </c>
      <c r="S10" s="1" t="s">
        <v>656</v>
      </c>
      <c r="T10" s="1" t="s">
        <v>34</v>
      </c>
      <c r="U10" s="1" t="s">
        <v>44</v>
      </c>
      <c r="V10" s="1" t="s">
        <v>34</v>
      </c>
      <c r="X10" s="44"/>
    </row>
    <row r="11" spans="1:24" x14ac:dyDescent="0.25">
      <c r="A11" s="1" t="s">
        <v>29</v>
      </c>
      <c r="B11" s="1" t="s">
        <v>164</v>
      </c>
      <c r="C11" s="1" t="s">
        <v>104</v>
      </c>
      <c r="D11" s="1" t="s">
        <v>105</v>
      </c>
      <c r="E11" s="1" t="s">
        <v>165</v>
      </c>
      <c r="F11" s="1" t="s">
        <v>166</v>
      </c>
      <c r="G11" s="1" t="s">
        <v>29</v>
      </c>
      <c r="H11" s="1" t="s">
        <v>141</v>
      </c>
      <c r="I11" s="1" t="s">
        <v>90</v>
      </c>
      <c r="J11" s="1" t="s">
        <v>48</v>
      </c>
      <c r="K11" s="1" t="s">
        <v>142</v>
      </c>
      <c r="L11" s="1" t="s">
        <v>123</v>
      </c>
      <c r="M11" s="1" t="s">
        <v>142</v>
      </c>
      <c r="N11" s="1" t="s">
        <v>126</v>
      </c>
      <c r="O11" s="1" t="s">
        <v>128</v>
      </c>
      <c r="P11" s="1" t="s">
        <v>130</v>
      </c>
      <c r="Q11" s="1" t="s">
        <v>86</v>
      </c>
      <c r="R11" s="1" t="s">
        <v>50</v>
      </c>
      <c r="S11" s="1" t="s">
        <v>656</v>
      </c>
      <c r="T11" s="1" t="s">
        <v>34</v>
      </c>
      <c r="U11" s="1" t="s">
        <v>44</v>
      </c>
      <c r="V11" s="1" t="s">
        <v>34</v>
      </c>
    </row>
    <row r="12" spans="1:24" x14ac:dyDescent="0.25">
      <c r="A12" s="1" t="s">
        <v>29</v>
      </c>
      <c r="B12" s="1" t="s">
        <v>167</v>
      </c>
      <c r="C12" s="1" t="s">
        <v>104</v>
      </c>
      <c r="D12" s="1" t="s">
        <v>105</v>
      </c>
      <c r="E12" s="1" t="s">
        <v>168</v>
      </c>
      <c r="F12" s="1" t="s">
        <v>169</v>
      </c>
      <c r="G12" s="1" t="s">
        <v>29</v>
      </c>
      <c r="H12" s="1" t="s">
        <v>141</v>
      </c>
      <c r="I12" s="1" t="s">
        <v>90</v>
      </c>
      <c r="J12" s="1" t="s">
        <v>48</v>
      </c>
      <c r="K12" s="1" t="s">
        <v>142</v>
      </c>
      <c r="L12" s="1" t="s">
        <v>123</v>
      </c>
      <c r="M12" s="1" t="s">
        <v>142</v>
      </c>
      <c r="N12" s="1" t="s">
        <v>126</v>
      </c>
      <c r="O12" s="1" t="s">
        <v>128</v>
      </c>
      <c r="P12" s="1" t="s">
        <v>130</v>
      </c>
      <c r="Q12" s="1" t="s">
        <v>86</v>
      </c>
      <c r="R12" s="1" t="s">
        <v>50</v>
      </c>
      <c r="S12" s="1" t="s">
        <v>656</v>
      </c>
      <c r="T12" s="1" t="s">
        <v>34</v>
      </c>
      <c r="U12" s="1" t="s">
        <v>44</v>
      </c>
      <c r="V12" s="1" t="s">
        <v>34</v>
      </c>
    </row>
    <row r="13" spans="1:24" x14ac:dyDescent="0.25">
      <c r="A13" s="1" t="s">
        <v>29</v>
      </c>
      <c r="B13" s="1" t="s">
        <v>170</v>
      </c>
      <c r="C13" s="1" t="s">
        <v>104</v>
      </c>
      <c r="D13" s="1" t="s">
        <v>107</v>
      </c>
      <c r="E13" s="1" t="s">
        <v>144</v>
      </c>
      <c r="F13" s="1" t="s">
        <v>171</v>
      </c>
      <c r="G13" s="1" t="s">
        <v>29</v>
      </c>
      <c r="H13" s="1" t="s">
        <v>141</v>
      </c>
      <c r="I13" s="1" t="s">
        <v>92</v>
      </c>
      <c r="J13" s="1" t="s">
        <v>48</v>
      </c>
      <c r="K13" s="1" t="s">
        <v>142</v>
      </c>
      <c r="L13" s="1" t="s">
        <v>123</v>
      </c>
      <c r="M13" s="1" t="s">
        <v>142</v>
      </c>
      <c r="N13" s="1" t="s">
        <v>126</v>
      </c>
      <c r="O13" s="1" t="s">
        <v>128</v>
      </c>
      <c r="P13" s="1" t="s">
        <v>130</v>
      </c>
      <c r="Q13" s="1" t="s">
        <v>86</v>
      </c>
      <c r="R13" s="1" t="s">
        <v>50</v>
      </c>
      <c r="S13" s="1" t="s">
        <v>656</v>
      </c>
      <c r="T13" s="1" t="s">
        <v>34</v>
      </c>
      <c r="U13" s="1" t="s">
        <v>44</v>
      </c>
      <c r="V13" s="1" t="s">
        <v>34</v>
      </c>
    </row>
    <row r="14" spans="1:24" x14ac:dyDescent="0.25">
      <c r="A14" s="1" t="s">
        <v>29</v>
      </c>
      <c r="B14" s="1" t="s">
        <v>172</v>
      </c>
      <c r="C14" s="1" t="s">
        <v>104</v>
      </c>
      <c r="D14" s="1" t="s">
        <v>107</v>
      </c>
      <c r="E14" s="1" t="s">
        <v>147</v>
      </c>
      <c r="F14" s="1" t="s">
        <v>173</v>
      </c>
      <c r="G14" s="1" t="s">
        <v>29</v>
      </c>
      <c r="H14" s="1" t="s">
        <v>141</v>
      </c>
      <c r="I14" s="1" t="s">
        <v>92</v>
      </c>
      <c r="J14" s="1" t="s">
        <v>48</v>
      </c>
      <c r="K14" s="1" t="s">
        <v>142</v>
      </c>
      <c r="L14" s="1" t="s">
        <v>123</v>
      </c>
      <c r="M14" s="1" t="s">
        <v>142</v>
      </c>
      <c r="N14" s="1" t="s">
        <v>126</v>
      </c>
      <c r="O14" s="1" t="s">
        <v>128</v>
      </c>
      <c r="P14" s="1" t="s">
        <v>130</v>
      </c>
      <c r="Q14" s="1" t="s">
        <v>86</v>
      </c>
      <c r="R14" s="1" t="s">
        <v>50</v>
      </c>
      <c r="S14" s="1" t="s">
        <v>656</v>
      </c>
      <c r="T14" s="1" t="s">
        <v>34</v>
      </c>
      <c r="U14" s="1" t="s">
        <v>44</v>
      </c>
      <c r="V14" s="1" t="s">
        <v>34</v>
      </c>
    </row>
    <row r="15" spans="1:24" x14ac:dyDescent="0.25">
      <c r="A15" s="1" t="s">
        <v>29</v>
      </c>
      <c r="B15" s="1" t="s">
        <v>174</v>
      </c>
      <c r="C15" s="1" t="s">
        <v>104</v>
      </c>
      <c r="D15" s="1" t="s">
        <v>107</v>
      </c>
      <c r="E15" s="1" t="s">
        <v>150</v>
      </c>
      <c r="F15" s="1" t="s">
        <v>175</v>
      </c>
      <c r="G15" s="1" t="s">
        <v>29</v>
      </c>
      <c r="H15" s="1" t="s">
        <v>141</v>
      </c>
      <c r="I15" s="1" t="s">
        <v>92</v>
      </c>
      <c r="J15" s="1" t="s">
        <v>48</v>
      </c>
      <c r="K15" s="1" t="s">
        <v>142</v>
      </c>
      <c r="L15" s="1" t="s">
        <v>123</v>
      </c>
      <c r="M15" s="1" t="s">
        <v>142</v>
      </c>
      <c r="N15" s="1" t="s">
        <v>126</v>
      </c>
      <c r="O15" s="1" t="s">
        <v>128</v>
      </c>
      <c r="P15" s="1" t="s">
        <v>130</v>
      </c>
      <c r="Q15" s="1" t="s">
        <v>86</v>
      </c>
      <c r="R15" s="1" t="s">
        <v>50</v>
      </c>
      <c r="S15" s="1" t="s">
        <v>656</v>
      </c>
      <c r="T15" s="1" t="s">
        <v>34</v>
      </c>
      <c r="U15" s="1" t="s">
        <v>44</v>
      </c>
      <c r="V15" s="1" t="s">
        <v>34</v>
      </c>
      <c r="W15" s="45"/>
    </row>
    <row r="16" spans="1:24" x14ac:dyDescent="0.25">
      <c r="A16" s="1" t="s">
        <v>29</v>
      </c>
      <c r="B16" s="1" t="s">
        <v>176</v>
      </c>
      <c r="C16" s="1" t="s">
        <v>104</v>
      </c>
      <c r="D16" s="1" t="s">
        <v>107</v>
      </c>
      <c r="E16" s="1" t="s">
        <v>153</v>
      </c>
      <c r="F16" s="1" t="s">
        <v>177</v>
      </c>
      <c r="G16" s="1" t="s">
        <v>29</v>
      </c>
      <c r="H16" s="1" t="s">
        <v>141</v>
      </c>
      <c r="I16" s="1" t="s">
        <v>92</v>
      </c>
      <c r="J16" s="1" t="s">
        <v>48</v>
      </c>
      <c r="K16" s="1" t="s">
        <v>142</v>
      </c>
      <c r="L16" s="1" t="s">
        <v>123</v>
      </c>
      <c r="M16" s="1" t="s">
        <v>142</v>
      </c>
      <c r="N16" s="1" t="s">
        <v>126</v>
      </c>
      <c r="O16" s="1" t="s">
        <v>128</v>
      </c>
      <c r="P16" s="1" t="s">
        <v>130</v>
      </c>
      <c r="Q16" s="1" t="s">
        <v>86</v>
      </c>
      <c r="R16" s="1" t="s">
        <v>50</v>
      </c>
      <c r="S16" s="1" t="s">
        <v>656</v>
      </c>
      <c r="T16" s="1" t="s">
        <v>34</v>
      </c>
      <c r="U16" s="1" t="s">
        <v>44</v>
      </c>
      <c r="V16" s="1" t="s">
        <v>34</v>
      </c>
      <c r="W16" s="45"/>
    </row>
    <row r="17" spans="1:23" x14ac:dyDescent="0.25">
      <c r="A17" s="1" t="s">
        <v>29</v>
      </c>
      <c r="B17" s="1" t="s">
        <v>178</v>
      </c>
      <c r="C17" s="1" t="s">
        <v>104</v>
      </c>
      <c r="D17" s="1" t="s">
        <v>107</v>
      </c>
      <c r="E17" s="1" t="s">
        <v>156</v>
      </c>
      <c r="F17" s="1" t="s">
        <v>179</v>
      </c>
      <c r="G17" s="1" t="s">
        <v>29</v>
      </c>
      <c r="H17" s="1" t="s">
        <v>141</v>
      </c>
      <c r="I17" s="1" t="s">
        <v>92</v>
      </c>
      <c r="J17" s="1" t="s">
        <v>48</v>
      </c>
      <c r="K17" s="1" t="s">
        <v>142</v>
      </c>
      <c r="L17" s="1" t="s">
        <v>123</v>
      </c>
      <c r="M17" s="1" t="s">
        <v>142</v>
      </c>
      <c r="N17" s="1" t="s">
        <v>126</v>
      </c>
      <c r="O17" s="1" t="s">
        <v>128</v>
      </c>
      <c r="P17" s="1" t="s">
        <v>130</v>
      </c>
      <c r="Q17" s="1" t="s">
        <v>86</v>
      </c>
      <c r="R17" s="1" t="s">
        <v>50</v>
      </c>
      <c r="S17" s="1" t="s">
        <v>656</v>
      </c>
      <c r="T17" s="1" t="s">
        <v>34</v>
      </c>
      <c r="U17" s="1" t="s">
        <v>44</v>
      </c>
      <c r="V17" s="1" t="s">
        <v>34</v>
      </c>
      <c r="W17" s="45"/>
    </row>
    <row r="18" spans="1:23" x14ac:dyDescent="0.25">
      <c r="A18" s="1" t="s">
        <v>29</v>
      </c>
      <c r="B18" s="1" t="s">
        <v>180</v>
      </c>
      <c r="C18" s="1" t="s">
        <v>104</v>
      </c>
      <c r="D18" s="1" t="s">
        <v>109</v>
      </c>
      <c r="E18" s="1" t="s">
        <v>181</v>
      </c>
      <c r="F18" s="1" t="s">
        <v>182</v>
      </c>
      <c r="G18" s="1" t="s">
        <v>29</v>
      </c>
      <c r="H18" s="1" t="s">
        <v>141</v>
      </c>
      <c r="I18" s="1" t="s">
        <v>93</v>
      </c>
      <c r="J18" s="1" t="s">
        <v>48</v>
      </c>
      <c r="K18" s="1" t="s">
        <v>142</v>
      </c>
      <c r="L18" s="1" t="s">
        <v>123</v>
      </c>
      <c r="M18" s="1" t="s">
        <v>142</v>
      </c>
      <c r="N18" s="1" t="s">
        <v>126</v>
      </c>
      <c r="O18" s="1" t="s">
        <v>128</v>
      </c>
      <c r="P18" s="1" t="s">
        <v>130</v>
      </c>
      <c r="Q18" s="1" t="s">
        <v>86</v>
      </c>
      <c r="R18" s="1" t="s">
        <v>50</v>
      </c>
      <c r="S18" s="1" t="s">
        <v>656</v>
      </c>
      <c r="T18" s="1" t="s">
        <v>34</v>
      </c>
      <c r="U18" s="1" t="s">
        <v>44</v>
      </c>
      <c r="V18" s="1" t="s">
        <v>34</v>
      </c>
    </row>
    <row r="19" spans="1:23" x14ac:dyDescent="0.25">
      <c r="A19" s="1" t="s">
        <v>29</v>
      </c>
      <c r="B19" s="1" t="s">
        <v>183</v>
      </c>
      <c r="C19" s="1" t="s">
        <v>104</v>
      </c>
      <c r="D19" s="1" t="s">
        <v>109</v>
      </c>
      <c r="E19" s="1" t="s">
        <v>184</v>
      </c>
      <c r="F19" s="1" t="s">
        <v>185</v>
      </c>
      <c r="G19" s="1" t="s">
        <v>29</v>
      </c>
      <c r="H19" s="1" t="s">
        <v>141</v>
      </c>
      <c r="I19" s="1" t="s">
        <v>93</v>
      </c>
      <c r="J19" s="1" t="s">
        <v>48</v>
      </c>
      <c r="K19" s="1" t="s">
        <v>142</v>
      </c>
      <c r="L19" s="1" t="s">
        <v>123</v>
      </c>
      <c r="M19" s="1" t="s">
        <v>142</v>
      </c>
      <c r="N19" s="1" t="s">
        <v>126</v>
      </c>
      <c r="O19" s="1" t="s">
        <v>128</v>
      </c>
      <c r="P19" s="1" t="s">
        <v>130</v>
      </c>
      <c r="Q19" s="1" t="s">
        <v>86</v>
      </c>
      <c r="R19" s="1" t="s">
        <v>50</v>
      </c>
      <c r="S19" s="1" t="s">
        <v>656</v>
      </c>
      <c r="T19" s="1" t="s">
        <v>34</v>
      </c>
      <c r="U19" s="1" t="s">
        <v>44</v>
      </c>
      <c r="V19" s="1" t="s">
        <v>34</v>
      </c>
    </row>
    <row r="20" spans="1:23" x14ac:dyDescent="0.25">
      <c r="A20" s="1" t="s">
        <v>29</v>
      </c>
      <c r="B20" s="1" t="s">
        <v>186</v>
      </c>
      <c r="C20" s="1" t="s">
        <v>104</v>
      </c>
      <c r="D20" s="1" t="s">
        <v>109</v>
      </c>
      <c r="E20" s="1" t="s">
        <v>187</v>
      </c>
      <c r="F20" s="1" t="s">
        <v>188</v>
      </c>
      <c r="G20" s="1" t="s">
        <v>29</v>
      </c>
      <c r="H20" s="1" t="s">
        <v>141</v>
      </c>
      <c r="I20" s="1" t="s">
        <v>93</v>
      </c>
      <c r="J20" s="1" t="s">
        <v>48</v>
      </c>
      <c r="K20" s="1" t="s">
        <v>142</v>
      </c>
      <c r="L20" s="1" t="s">
        <v>123</v>
      </c>
      <c r="M20" s="1" t="s">
        <v>142</v>
      </c>
      <c r="N20" s="1" t="s">
        <v>126</v>
      </c>
      <c r="O20" s="1" t="s">
        <v>128</v>
      </c>
      <c r="P20" s="1" t="s">
        <v>130</v>
      </c>
      <c r="Q20" s="1" t="s">
        <v>86</v>
      </c>
      <c r="R20" s="1" t="s">
        <v>50</v>
      </c>
      <c r="S20" s="1" t="s">
        <v>656</v>
      </c>
      <c r="T20" s="1" t="s">
        <v>34</v>
      </c>
      <c r="U20" s="1" t="s">
        <v>44</v>
      </c>
      <c r="V20" s="1" t="s">
        <v>34</v>
      </c>
    </row>
    <row r="21" spans="1:23" x14ac:dyDescent="0.25">
      <c r="A21" s="1" t="s">
        <v>29</v>
      </c>
      <c r="B21" s="1" t="s">
        <v>189</v>
      </c>
      <c r="C21" s="1" t="s">
        <v>104</v>
      </c>
      <c r="D21" s="1" t="s">
        <v>109</v>
      </c>
      <c r="E21" s="1" t="s">
        <v>190</v>
      </c>
      <c r="F21" s="1" t="s">
        <v>191</v>
      </c>
      <c r="G21" s="1" t="s">
        <v>29</v>
      </c>
      <c r="H21" s="1" t="s">
        <v>141</v>
      </c>
      <c r="I21" s="1" t="s">
        <v>93</v>
      </c>
      <c r="J21" s="1" t="s">
        <v>48</v>
      </c>
      <c r="K21" s="1" t="s">
        <v>142</v>
      </c>
      <c r="L21" s="1" t="s">
        <v>123</v>
      </c>
      <c r="M21" s="1" t="s">
        <v>142</v>
      </c>
      <c r="N21" s="1" t="s">
        <v>126</v>
      </c>
      <c r="O21" s="1" t="s">
        <v>128</v>
      </c>
      <c r="P21" s="1" t="s">
        <v>130</v>
      </c>
      <c r="Q21" s="1" t="s">
        <v>86</v>
      </c>
      <c r="R21" s="1" t="s">
        <v>50</v>
      </c>
      <c r="S21" s="1" t="s">
        <v>656</v>
      </c>
      <c r="T21" s="1" t="s">
        <v>34</v>
      </c>
      <c r="U21" s="1" t="s">
        <v>44</v>
      </c>
      <c r="V21" s="1" t="s">
        <v>34</v>
      </c>
    </row>
    <row r="22" spans="1:23" x14ac:dyDescent="0.25">
      <c r="A22" s="1" t="s">
        <v>29</v>
      </c>
      <c r="B22" s="1" t="s">
        <v>192</v>
      </c>
      <c r="C22" s="1" t="s">
        <v>104</v>
      </c>
      <c r="D22" s="1" t="s">
        <v>109</v>
      </c>
      <c r="E22" s="1" t="s">
        <v>193</v>
      </c>
      <c r="F22" s="1" t="s">
        <v>194</v>
      </c>
      <c r="G22" s="1" t="s">
        <v>29</v>
      </c>
      <c r="H22" s="1" t="s">
        <v>141</v>
      </c>
      <c r="I22" s="1" t="s">
        <v>93</v>
      </c>
      <c r="J22" s="1" t="s">
        <v>48</v>
      </c>
      <c r="K22" s="1" t="s">
        <v>142</v>
      </c>
      <c r="L22" s="1" t="s">
        <v>123</v>
      </c>
      <c r="M22" s="1" t="s">
        <v>142</v>
      </c>
      <c r="N22" s="1" t="s">
        <v>126</v>
      </c>
      <c r="O22" s="1" t="s">
        <v>128</v>
      </c>
      <c r="P22" s="1" t="s">
        <v>130</v>
      </c>
      <c r="Q22" s="1" t="s">
        <v>86</v>
      </c>
      <c r="R22" s="1" t="s">
        <v>50</v>
      </c>
      <c r="S22" s="1" t="s">
        <v>656</v>
      </c>
      <c r="T22" s="1" t="s">
        <v>34</v>
      </c>
      <c r="U22" s="1" t="s">
        <v>44</v>
      </c>
      <c r="V22" s="1" t="s">
        <v>34</v>
      </c>
    </row>
    <row r="23" spans="1:23" x14ac:dyDescent="0.25">
      <c r="A23" s="1" t="s">
        <v>29</v>
      </c>
      <c r="B23" s="1" t="s">
        <v>195</v>
      </c>
      <c r="C23" s="1" t="s">
        <v>104</v>
      </c>
      <c r="D23" s="1" t="s">
        <v>109</v>
      </c>
      <c r="E23" s="1" t="s">
        <v>196</v>
      </c>
      <c r="F23" s="1" t="s">
        <v>197</v>
      </c>
      <c r="G23" s="1" t="s">
        <v>29</v>
      </c>
      <c r="H23" s="1" t="s">
        <v>141</v>
      </c>
      <c r="I23" s="1" t="s">
        <v>93</v>
      </c>
      <c r="J23" s="1" t="s">
        <v>48</v>
      </c>
      <c r="K23" s="1" t="s">
        <v>142</v>
      </c>
      <c r="L23" s="1" t="s">
        <v>123</v>
      </c>
      <c r="M23" s="1" t="s">
        <v>142</v>
      </c>
      <c r="N23" s="1" t="s">
        <v>126</v>
      </c>
      <c r="O23" s="1" t="s">
        <v>128</v>
      </c>
      <c r="P23" s="1" t="s">
        <v>130</v>
      </c>
      <c r="Q23" s="1" t="s">
        <v>86</v>
      </c>
      <c r="R23" s="1" t="s">
        <v>50</v>
      </c>
      <c r="S23" s="1" t="s">
        <v>656</v>
      </c>
      <c r="T23" s="1" t="s">
        <v>34</v>
      </c>
      <c r="U23" s="1" t="s">
        <v>44</v>
      </c>
      <c r="V23" s="1" t="s">
        <v>34</v>
      </c>
    </row>
    <row r="24" spans="1:23" x14ac:dyDescent="0.25">
      <c r="A24" s="1" t="s">
        <v>29</v>
      </c>
      <c r="B24" s="1" t="s">
        <v>198</v>
      </c>
      <c r="C24" s="1" t="s">
        <v>104</v>
      </c>
      <c r="D24" s="1" t="s">
        <v>109</v>
      </c>
      <c r="E24" s="1" t="s">
        <v>199</v>
      </c>
      <c r="F24" s="1" t="s">
        <v>200</v>
      </c>
      <c r="G24" s="1" t="s">
        <v>29</v>
      </c>
      <c r="H24" s="1" t="s">
        <v>141</v>
      </c>
      <c r="I24" s="1" t="s">
        <v>93</v>
      </c>
      <c r="J24" s="1" t="s">
        <v>48</v>
      </c>
      <c r="K24" s="1" t="s">
        <v>142</v>
      </c>
      <c r="L24" s="1" t="s">
        <v>123</v>
      </c>
      <c r="M24" s="1" t="s">
        <v>142</v>
      </c>
      <c r="N24" s="1" t="s">
        <v>126</v>
      </c>
      <c r="O24" s="1" t="s">
        <v>128</v>
      </c>
      <c r="P24" s="1" t="s">
        <v>130</v>
      </c>
      <c r="Q24" s="1" t="s">
        <v>86</v>
      </c>
      <c r="R24" s="1" t="s">
        <v>50</v>
      </c>
      <c r="S24" s="1" t="s">
        <v>656</v>
      </c>
      <c r="T24" s="1" t="s">
        <v>34</v>
      </c>
      <c r="U24" s="1" t="s">
        <v>44</v>
      </c>
      <c r="V24" s="1" t="s">
        <v>34</v>
      </c>
    </row>
    <row r="25" spans="1:23" x14ac:dyDescent="0.25">
      <c r="A25" s="1" t="s">
        <v>29</v>
      </c>
      <c r="B25" s="1" t="s">
        <v>201</v>
      </c>
      <c r="C25" s="1" t="s">
        <v>104</v>
      </c>
      <c r="D25" s="1" t="s">
        <v>109</v>
      </c>
      <c r="E25" s="1" t="s">
        <v>202</v>
      </c>
      <c r="F25" s="1" t="s">
        <v>203</v>
      </c>
      <c r="G25" s="1" t="s">
        <v>29</v>
      </c>
      <c r="H25" s="1" t="s">
        <v>141</v>
      </c>
      <c r="I25" s="1" t="s">
        <v>93</v>
      </c>
      <c r="J25" s="1" t="s">
        <v>48</v>
      </c>
      <c r="K25" s="1" t="s">
        <v>142</v>
      </c>
      <c r="L25" s="1" t="s">
        <v>123</v>
      </c>
      <c r="M25" s="1" t="s">
        <v>142</v>
      </c>
      <c r="N25" s="1" t="s">
        <v>126</v>
      </c>
      <c r="O25" s="1" t="s">
        <v>128</v>
      </c>
      <c r="P25" s="1" t="s">
        <v>130</v>
      </c>
      <c r="Q25" s="1" t="s">
        <v>86</v>
      </c>
      <c r="R25" s="1" t="s">
        <v>50</v>
      </c>
      <c r="S25" s="1" t="s">
        <v>656</v>
      </c>
      <c r="T25" s="1" t="s">
        <v>34</v>
      </c>
      <c r="U25" s="1" t="s">
        <v>44</v>
      </c>
      <c r="V25" s="1" t="s">
        <v>34</v>
      </c>
    </row>
    <row r="26" spans="1:23" x14ac:dyDescent="0.25">
      <c r="A26" s="1" t="s">
        <v>29</v>
      </c>
      <c r="B26" s="1" t="s">
        <v>204</v>
      </c>
      <c r="C26" s="1" t="s">
        <v>104</v>
      </c>
      <c r="D26" s="1" t="s">
        <v>109</v>
      </c>
      <c r="E26" s="1" t="s">
        <v>205</v>
      </c>
      <c r="F26" s="1" t="s">
        <v>206</v>
      </c>
      <c r="G26" s="1" t="s">
        <v>29</v>
      </c>
      <c r="H26" s="1" t="s">
        <v>141</v>
      </c>
      <c r="I26" s="1" t="s">
        <v>93</v>
      </c>
      <c r="J26" s="1" t="s">
        <v>48</v>
      </c>
      <c r="K26" s="1" t="s">
        <v>142</v>
      </c>
      <c r="L26" s="1" t="s">
        <v>123</v>
      </c>
      <c r="M26" s="1" t="s">
        <v>142</v>
      </c>
      <c r="N26" s="1" t="s">
        <v>126</v>
      </c>
      <c r="O26" s="1" t="s">
        <v>128</v>
      </c>
      <c r="P26" s="1" t="s">
        <v>130</v>
      </c>
      <c r="Q26" s="1" t="s">
        <v>86</v>
      </c>
      <c r="R26" s="1" t="s">
        <v>50</v>
      </c>
      <c r="S26" s="1" t="s">
        <v>656</v>
      </c>
      <c r="T26" s="1" t="s">
        <v>34</v>
      </c>
      <c r="U26" s="1" t="s">
        <v>44</v>
      </c>
      <c r="V26" s="1" t="s">
        <v>34</v>
      </c>
    </row>
    <row r="27" spans="1:23" x14ac:dyDescent="0.25">
      <c r="A27" s="1" t="s">
        <v>29</v>
      </c>
      <c r="B27" s="1" t="s">
        <v>207</v>
      </c>
      <c r="C27" s="1" t="s">
        <v>104</v>
      </c>
      <c r="D27" s="1" t="s">
        <v>109</v>
      </c>
      <c r="E27" s="1" t="s">
        <v>208</v>
      </c>
      <c r="F27" s="1" t="s">
        <v>209</v>
      </c>
      <c r="G27" s="1" t="s">
        <v>29</v>
      </c>
      <c r="H27" s="1" t="s">
        <v>141</v>
      </c>
      <c r="I27" s="1" t="s">
        <v>93</v>
      </c>
      <c r="J27" s="1" t="s">
        <v>48</v>
      </c>
      <c r="K27" s="1" t="s">
        <v>142</v>
      </c>
      <c r="L27" s="1" t="s">
        <v>123</v>
      </c>
      <c r="M27" s="1" t="s">
        <v>142</v>
      </c>
      <c r="N27" s="1" t="s">
        <v>126</v>
      </c>
      <c r="O27" s="1" t="s">
        <v>128</v>
      </c>
      <c r="P27" s="1" t="s">
        <v>130</v>
      </c>
      <c r="Q27" s="1" t="s">
        <v>86</v>
      </c>
      <c r="R27" s="1" t="s">
        <v>50</v>
      </c>
      <c r="S27" s="1" t="s">
        <v>656</v>
      </c>
      <c r="T27" s="1" t="s">
        <v>34</v>
      </c>
      <c r="U27" s="1" t="s">
        <v>44</v>
      </c>
      <c r="V27" s="1" t="s">
        <v>34</v>
      </c>
    </row>
    <row r="28" spans="1:23" x14ac:dyDescent="0.25">
      <c r="A28" s="1" t="s">
        <v>29</v>
      </c>
      <c r="B28" s="1" t="s">
        <v>210</v>
      </c>
      <c r="C28" s="1" t="s">
        <v>104</v>
      </c>
      <c r="D28" s="1" t="s">
        <v>109</v>
      </c>
      <c r="E28" s="1" t="s">
        <v>211</v>
      </c>
      <c r="F28" s="1" t="s">
        <v>212</v>
      </c>
      <c r="G28" s="1" t="s">
        <v>29</v>
      </c>
      <c r="H28" s="1" t="s">
        <v>141</v>
      </c>
      <c r="I28" s="1" t="s">
        <v>93</v>
      </c>
      <c r="J28" s="1" t="s">
        <v>48</v>
      </c>
      <c r="K28" s="1" t="s">
        <v>142</v>
      </c>
      <c r="L28" s="1" t="s">
        <v>123</v>
      </c>
      <c r="M28" s="1" t="s">
        <v>142</v>
      </c>
      <c r="N28" s="1" t="s">
        <v>126</v>
      </c>
      <c r="O28" s="1" t="s">
        <v>128</v>
      </c>
      <c r="P28" s="1" t="s">
        <v>130</v>
      </c>
      <c r="Q28" s="1" t="s">
        <v>86</v>
      </c>
      <c r="R28" s="1" t="s">
        <v>50</v>
      </c>
      <c r="S28" s="1" t="s">
        <v>656</v>
      </c>
      <c r="T28" s="1" t="s">
        <v>34</v>
      </c>
      <c r="U28" s="1" t="s">
        <v>44</v>
      </c>
      <c r="V28" s="1" t="s">
        <v>34</v>
      </c>
    </row>
    <row r="29" spans="1:23" x14ac:dyDescent="0.25">
      <c r="A29" s="1" t="s">
        <v>29</v>
      </c>
      <c r="B29" s="1" t="s">
        <v>213</v>
      </c>
      <c r="C29" s="1" t="s">
        <v>104</v>
      </c>
      <c r="D29" s="1" t="s">
        <v>109</v>
      </c>
      <c r="E29" s="1" t="s">
        <v>214</v>
      </c>
      <c r="F29" s="1" t="s">
        <v>215</v>
      </c>
      <c r="G29" s="1" t="s">
        <v>29</v>
      </c>
      <c r="H29" s="1" t="s">
        <v>141</v>
      </c>
      <c r="I29" s="1" t="s">
        <v>93</v>
      </c>
      <c r="J29" s="1" t="s">
        <v>48</v>
      </c>
      <c r="K29" s="1" t="s">
        <v>142</v>
      </c>
      <c r="L29" s="1" t="s">
        <v>123</v>
      </c>
      <c r="M29" s="1" t="s">
        <v>142</v>
      </c>
      <c r="N29" s="1" t="s">
        <v>126</v>
      </c>
      <c r="O29" s="1" t="s">
        <v>128</v>
      </c>
      <c r="P29" s="1" t="s">
        <v>130</v>
      </c>
      <c r="Q29" s="1" t="s">
        <v>86</v>
      </c>
      <c r="R29" s="1" t="s">
        <v>50</v>
      </c>
      <c r="S29" s="1" t="s">
        <v>656</v>
      </c>
      <c r="T29" s="1" t="s">
        <v>34</v>
      </c>
      <c r="U29" s="1" t="s">
        <v>44</v>
      </c>
      <c r="V29" s="1" t="s">
        <v>34</v>
      </c>
    </row>
    <row r="30" spans="1:23" x14ac:dyDescent="0.25">
      <c r="A30" s="1" t="s">
        <v>29</v>
      </c>
      <c r="B30" s="1" t="s">
        <v>216</v>
      </c>
      <c r="C30" s="1" t="s">
        <v>104</v>
      </c>
      <c r="D30" s="1" t="s">
        <v>109</v>
      </c>
      <c r="E30" s="1" t="s">
        <v>217</v>
      </c>
      <c r="F30" s="1" t="s">
        <v>218</v>
      </c>
      <c r="G30" s="1" t="s">
        <v>29</v>
      </c>
      <c r="H30" s="1" t="s">
        <v>141</v>
      </c>
      <c r="I30" s="1" t="s">
        <v>93</v>
      </c>
      <c r="J30" s="1" t="s">
        <v>48</v>
      </c>
      <c r="K30" s="1" t="s">
        <v>142</v>
      </c>
      <c r="L30" s="1" t="s">
        <v>123</v>
      </c>
      <c r="M30" s="1" t="s">
        <v>142</v>
      </c>
      <c r="N30" s="1" t="s">
        <v>126</v>
      </c>
      <c r="O30" s="1" t="s">
        <v>128</v>
      </c>
      <c r="P30" s="1" t="s">
        <v>130</v>
      </c>
      <c r="Q30" s="1" t="s">
        <v>86</v>
      </c>
      <c r="R30" s="1" t="s">
        <v>50</v>
      </c>
      <c r="S30" s="1" t="s">
        <v>656</v>
      </c>
      <c r="T30" s="1" t="s">
        <v>34</v>
      </c>
      <c r="U30" s="1" t="s">
        <v>44</v>
      </c>
      <c r="V30" s="1" t="s">
        <v>34</v>
      </c>
    </row>
    <row r="31" spans="1:23" x14ac:dyDescent="0.25">
      <c r="A31" s="1" t="s">
        <v>29</v>
      </c>
      <c r="B31" s="1" t="s">
        <v>219</v>
      </c>
      <c r="C31" s="1" t="s">
        <v>104</v>
      </c>
      <c r="D31" s="1" t="s">
        <v>109</v>
      </c>
      <c r="E31" s="1" t="s">
        <v>220</v>
      </c>
      <c r="F31" s="1" t="s">
        <v>221</v>
      </c>
      <c r="G31" s="1" t="s">
        <v>29</v>
      </c>
      <c r="H31" s="1" t="s">
        <v>141</v>
      </c>
      <c r="I31" s="1" t="s">
        <v>93</v>
      </c>
      <c r="J31" s="1" t="s">
        <v>48</v>
      </c>
      <c r="K31" s="1" t="s">
        <v>142</v>
      </c>
      <c r="L31" s="1" t="s">
        <v>123</v>
      </c>
      <c r="M31" s="1" t="s">
        <v>142</v>
      </c>
      <c r="N31" s="1" t="s">
        <v>126</v>
      </c>
      <c r="O31" s="1" t="s">
        <v>128</v>
      </c>
      <c r="P31" s="1" t="s">
        <v>130</v>
      </c>
      <c r="Q31" s="1" t="s">
        <v>86</v>
      </c>
      <c r="R31" s="1" t="s">
        <v>50</v>
      </c>
      <c r="S31" s="1" t="s">
        <v>656</v>
      </c>
      <c r="T31" s="1" t="s">
        <v>34</v>
      </c>
      <c r="U31" s="1" t="s">
        <v>44</v>
      </c>
      <c r="V31" s="1" t="s">
        <v>34</v>
      </c>
    </row>
    <row r="32" spans="1:23" x14ac:dyDescent="0.25">
      <c r="A32" s="1" t="s">
        <v>29</v>
      </c>
      <c r="B32" s="1" t="s">
        <v>222</v>
      </c>
      <c r="C32" s="1" t="s">
        <v>104</v>
      </c>
      <c r="D32" s="1" t="s">
        <v>109</v>
      </c>
      <c r="E32" s="1" t="s">
        <v>223</v>
      </c>
      <c r="F32" s="1" t="s">
        <v>224</v>
      </c>
      <c r="G32" s="1" t="s">
        <v>29</v>
      </c>
      <c r="H32" s="1" t="s">
        <v>141</v>
      </c>
      <c r="I32" s="1" t="s">
        <v>93</v>
      </c>
      <c r="J32" s="1" t="s">
        <v>48</v>
      </c>
      <c r="K32" s="1" t="s">
        <v>142</v>
      </c>
      <c r="L32" s="1" t="s">
        <v>123</v>
      </c>
      <c r="M32" s="1" t="s">
        <v>142</v>
      </c>
      <c r="N32" s="1" t="s">
        <v>126</v>
      </c>
      <c r="O32" s="1" t="s">
        <v>128</v>
      </c>
      <c r="P32" s="1" t="s">
        <v>130</v>
      </c>
      <c r="Q32" s="1" t="s">
        <v>86</v>
      </c>
      <c r="R32" s="1" t="s">
        <v>50</v>
      </c>
      <c r="S32" s="1" t="s">
        <v>656</v>
      </c>
      <c r="T32" s="1" t="s">
        <v>34</v>
      </c>
      <c r="U32" s="1" t="s">
        <v>44</v>
      </c>
      <c r="V32" s="1" t="s">
        <v>34</v>
      </c>
    </row>
    <row r="33" spans="1:22" x14ac:dyDescent="0.25">
      <c r="A33" s="1" t="s">
        <v>29</v>
      </c>
      <c r="B33" s="1" t="s">
        <v>225</v>
      </c>
      <c r="C33" s="1" t="s">
        <v>104</v>
      </c>
      <c r="D33" s="1" t="s">
        <v>111</v>
      </c>
      <c r="E33" s="1" t="s">
        <v>139</v>
      </c>
      <c r="F33" s="1" t="s">
        <v>226</v>
      </c>
      <c r="G33" s="1" t="s">
        <v>29</v>
      </c>
      <c r="H33" s="1" t="s">
        <v>141</v>
      </c>
      <c r="I33" s="1" t="s">
        <v>94</v>
      </c>
      <c r="J33" s="1" t="s">
        <v>48</v>
      </c>
      <c r="K33" s="1" t="s">
        <v>142</v>
      </c>
      <c r="L33" s="1" t="s">
        <v>123</v>
      </c>
      <c r="M33" s="1" t="s">
        <v>142</v>
      </c>
      <c r="N33" s="1" t="s">
        <v>126</v>
      </c>
      <c r="O33" s="1" t="s">
        <v>128</v>
      </c>
      <c r="P33" s="1" t="s">
        <v>130</v>
      </c>
      <c r="Q33" s="1" t="s">
        <v>86</v>
      </c>
      <c r="R33" s="1" t="s">
        <v>50</v>
      </c>
      <c r="S33" s="1" t="s">
        <v>656</v>
      </c>
      <c r="T33" s="1" t="s">
        <v>34</v>
      </c>
      <c r="U33" s="1" t="s">
        <v>44</v>
      </c>
      <c r="V33" s="1" t="s">
        <v>34</v>
      </c>
    </row>
    <row r="34" spans="1:22" x14ac:dyDescent="0.25">
      <c r="A34" s="1" t="s">
        <v>29</v>
      </c>
      <c r="B34" s="1" t="s">
        <v>227</v>
      </c>
      <c r="C34" s="1" t="s">
        <v>104</v>
      </c>
      <c r="D34" s="1" t="s">
        <v>111</v>
      </c>
      <c r="E34" s="1" t="s">
        <v>144</v>
      </c>
      <c r="F34" s="1" t="s">
        <v>228</v>
      </c>
      <c r="G34" s="1" t="s">
        <v>29</v>
      </c>
      <c r="H34" s="1" t="s">
        <v>141</v>
      </c>
      <c r="I34" s="1" t="s">
        <v>94</v>
      </c>
      <c r="J34" s="1" t="s">
        <v>48</v>
      </c>
      <c r="K34" s="1" t="s">
        <v>142</v>
      </c>
      <c r="L34" s="1" t="s">
        <v>123</v>
      </c>
      <c r="M34" s="1" t="s">
        <v>142</v>
      </c>
      <c r="N34" s="1" t="s">
        <v>126</v>
      </c>
      <c r="O34" s="1" t="s">
        <v>128</v>
      </c>
      <c r="P34" s="1" t="s">
        <v>130</v>
      </c>
      <c r="Q34" s="1" t="s">
        <v>86</v>
      </c>
      <c r="R34" s="1" t="s">
        <v>50</v>
      </c>
      <c r="S34" s="1" t="s">
        <v>656</v>
      </c>
      <c r="T34" s="1" t="s">
        <v>34</v>
      </c>
      <c r="U34" s="1" t="s">
        <v>44</v>
      </c>
      <c r="V34" s="1" t="s">
        <v>34</v>
      </c>
    </row>
    <row r="35" spans="1:22" x14ac:dyDescent="0.25">
      <c r="A35" s="1" t="s">
        <v>29</v>
      </c>
      <c r="B35" s="1" t="s">
        <v>229</v>
      </c>
      <c r="C35" s="1" t="s">
        <v>104</v>
      </c>
      <c r="D35" s="1" t="s">
        <v>111</v>
      </c>
      <c r="E35" s="1" t="s">
        <v>147</v>
      </c>
      <c r="F35" s="1" t="s">
        <v>230</v>
      </c>
      <c r="G35" s="1" t="s">
        <v>29</v>
      </c>
      <c r="H35" s="1" t="s">
        <v>141</v>
      </c>
      <c r="I35" s="1" t="s">
        <v>94</v>
      </c>
      <c r="J35" s="1" t="s">
        <v>48</v>
      </c>
      <c r="K35" s="1" t="s">
        <v>142</v>
      </c>
      <c r="L35" s="1" t="s">
        <v>123</v>
      </c>
      <c r="M35" s="1" t="s">
        <v>142</v>
      </c>
      <c r="N35" s="1" t="s">
        <v>126</v>
      </c>
      <c r="O35" s="1" t="s">
        <v>128</v>
      </c>
      <c r="P35" s="1" t="s">
        <v>130</v>
      </c>
      <c r="Q35" s="1" t="s">
        <v>86</v>
      </c>
      <c r="R35" s="1" t="s">
        <v>50</v>
      </c>
      <c r="S35" s="1" t="s">
        <v>656</v>
      </c>
      <c r="T35" s="1" t="s">
        <v>34</v>
      </c>
      <c r="U35" s="1" t="s">
        <v>44</v>
      </c>
      <c r="V35" s="1" t="s">
        <v>34</v>
      </c>
    </row>
    <row r="36" spans="1:22" x14ac:dyDescent="0.25">
      <c r="A36" s="1" t="s">
        <v>29</v>
      </c>
      <c r="B36" s="1" t="s">
        <v>231</v>
      </c>
      <c r="C36" s="1" t="s">
        <v>104</v>
      </c>
      <c r="D36" s="1" t="s">
        <v>111</v>
      </c>
      <c r="E36" s="1" t="s">
        <v>150</v>
      </c>
      <c r="F36" s="1" t="s">
        <v>232</v>
      </c>
      <c r="G36" s="1" t="s">
        <v>29</v>
      </c>
      <c r="H36" s="1" t="s">
        <v>141</v>
      </c>
      <c r="I36" s="1" t="s">
        <v>94</v>
      </c>
      <c r="J36" s="1" t="s">
        <v>48</v>
      </c>
      <c r="K36" s="1" t="s">
        <v>142</v>
      </c>
      <c r="L36" s="1" t="s">
        <v>123</v>
      </c>
      <c r="M36" s="1" t="s">
        <v>142</v>
      </c>
      <c r="N36" s="1" t="s">
        <v>126</v>
      </c>
      <c r="O36" s="1" t="s">
        <v>128</v>
      </c>
      <c r="P36" s="1" t="s">
        <v>130</v>
      </c>
      <c r="Q36" s="1" t="s">
        <v>86</v>
      </c>
      <c r="R36" s="1" t="s">
        <v>50</v>
      </c>
      <c r="S36" s="1" t="s">
        <v>656</v>
      </c>
      <c r="T36" s="1" t="s">
        <v>34</v>
      </c>
      <c r="U36" s="1" t="s">
        <v>44</v>
      </c>
      <c r="V36" s="1" t="s">
        <v>34</v>
      </c>
    </row>
    <row r="37" spans="1:22" x14ac:dyDescent="0.25">
      <c r="A37" s="1" t="s">
        <v>29</v>
      </c>
      <c r="B37" s="1" t="s">
        <v>233</v>
      </c>
      <c r="C37" s="1" t="s">
        <v>104</v>
      </c>
      <c r="D37" s="1" t="s">
        <v>111</v>
      </c>
      <c r="E37" s="1" t="s">
        <v>153</v>
      </c>
      <c r="F37" s="1" t="s">
        <v>234</v>
      </c>
      <c r="G37" s="1" t="s">
        <v>29</v>
      </c>
      <c r="H37" s="1" t="s">
        <v>141</v>
      </c>
      <c r="I37" s="1" t="s">
        <v>94</v>
      </c>
      <c r="J37" s="1" t="s">
        <v>48</v>
      </c>
      <c r="K37" s="1" t="s">
        <v>142</v>
      </c>
      <c r="L37" s="1" t="s">
        <v>123</v>
      </c>
      <c r="M37" s="1" t="s">
        <v>142</v>
      </c>
      <c r="N37" s="1" t="s">
        <v>126</v>
      </c>
      <c r="O37" s="1" t="s">
        <v>128</v>
      </c>
      <c r="P37" s="1" t="s">
        <v>130</v>
      </c>
      <c r="Q37" s="1" t="s">
        <v>86</v>
      </c>
      <c r="R37" s="1" t="s">
        <v>50</v>
      </c>
      <c r="S37" s="1" t="s">
        <v>656</v>
      </c>
      <c r="T37" s="1" t="s">
        <v>34</v>
      </c>
      <c r="U37" s="1" t="s">
        <v>44</v>
      </c>
      <c r="V37" s="1" t="s">
        <v>34</v>
      </c>
    </row>
    <row r="38" spans="1:22" x14ac:dyDescent="0.25">
      <c r="A38" s="1" t="s">
        <v>29</v>
      </c>
      <c r="B38" s="1" t="s">
        <v>235</v>
      </c>
      <c r="C38" s="1" t="s">
        <v>104</v>
      </c>
      <c r="D38" s="1" t="s">
        <v>111</v>
      </c>
      <c r="E38" s="1" t="s">
        <v>156</v>
      </c>
      <c r="F38" s="1" t="s">
        <v>236</v>
      </c>
      <c r="G38" s="1" t="s">
        <v>29</v>
      </c>
      <c r="H38" s="1" t="s">
        <v>141</v>
      </c>
      <c r="I38" s="1" t="s">
        <v>94</v>
      </c>
      <c r="J38" s="1" t="s">
        <v>48</v>
      </c>
      <c r="K38" s="1" t="s">
        <v>142</v>
      </c>
      <c r="L38" s="1" t="s">
        <v>123</v>
      </c>
      <c r="M38" s="1" t="s">
        <v>142</v>
      </c>
      <c r="N38" s="1" t="s">
        <v>126</v>
      </c>
      <c r="O38" s="1" t="s">
        <v>128</v>
      </c>
      <c r="P38" s="1" t="s">
        <v>130</v>
      </c>
      <c r="Q38" s="1" t="s">
        <v>86</v>
      </c>
      <c r="R38" s="1" t="s">
        <v>50</v>
      </c>
      <c r="S38" s="1" t="s">
        <v>656</v>
      </c>
      <c r="T38" s="1" t="s">
        <v>34</v>
      </c>
      <c r="U38" s="1" t="s">
        <v>44</v>
      </c>
      <c r="V38" s="1" t="s">
        <v>34</v>
      </c>
    </row>
    <row r="39" spans="1:22" x14ac:dyDescent="0.25">
      <c r="A39" s="1" t="s">
        <v>29</v>
      </c>
      <c r="B39" s="1" t="s">
        <v>237</v>
      </c>
      <c r="C39" s="1" t="s">
        <v>104</v>
      </c>
      <c r="D39" s="1" t="s">
        <v>111</v>
      </c>
      <c r="E39" s="1" t="s">
        <v>159</v>
      </c>
      <c r="F39" s="1" t="s">
        <v>238</v>
      </c>
      <c r="G39" s="1" t="s">
        <v>29</v>
      </c>
      <c r="H39" s="1" t="s">
        <v>141</v>
      </c>
      <c r="I39" s="1" t="s">
        <v>94</v>
      </c>
      <c r="J39" s="1" t="s">
        <v>48</v>
      </c>
      <c r="K39" s="1" t="s">
        <v>142</v>
      </c>
      <c r="L39" s="1" t="s">
        <v>123</v>
      </c>
      <c r="M39" s="1" t="s">
        <v>142</v>
      </c>
      <c r="N39" s="1" t="s">
        <v>126</v>
      </c>
      <c r="O39" s="1" t="s">
        <v>128</v>
      </c>
      <c r="P39" s="1" t="s">
        <v>130</v>
      </c>
      <c r="Q39" s="1" t="s">
        <v>86</v>
      </c>
      <c r="R39" s="1" t="s">
        <v>50</v>
      </c>
      <c r="S39" s="1" t="s">
        <v>656</v>
      </c>
      <c r="T39" s="1" t="s">
        <v>34</v>
      </c>
      <c r="U39" s="1" t="s">
        <v>44</v>
      </c>
      <c r="V39" s="1" t="s">
        <v>34</v>
      </c>
    </row>
    <row r="40" spans="1:22" x14ac:dyDescent="0.25">
      <c r="A40" s="1" t="s">
        <v>29</v>
      </c>
      <c r="B40" s="1" t="s">
        <v>239</v>
      </c>
      <c r="C40" s="1" t="s">
        <v>104</v>
      </c>
      <c r="D40" s="1" t="s">
        <v>111</v>
      </c>
      <c r="E40" s="1" t="s">
        <v>162</v>
      </c>
      <c r="F40" s="1" t="s">
        <v>240</v>
      </c>
      <c r="G40" s="1" t="s">
        <v>29</v>
      </c>
      <c r="H40" s="1" t="s">
        <v>141</v>
      </c>
      <c r="I40" s="1" t="s">
        <v>94</v>
      </c>
      <c r="J40" s="1" t="s">
        <v>48</v>
      </c>
      <c r="K40" s="1" t="s">
        <v>142</v>
      </c>
      <c r="L40" s="1" t="s">
        <v>123</v>
      </c>
      <c r="M40" s="1" t="s">
        <v>142</v>
      </c>
      <c r="N40" s="1" t="s">
        <v>126</v>
      </c>
      <c r="O40" s="1" t="s">
        <v>128</v>
      </c>
      <c r="P40" s="1" t="s">
        <v>130</v>
      </c>
      <c r="Q40" s="1" t="s">
        <v>86</v>
      </c>
      <c r="R40" s="1" t="s">
        <v>50</v>
      </c>
      <c r="S40" s="1" t="s">
        <v>656</v>
      </c>
      <c r="T40" s="1" t="s">
        <v>34</v>
      </c>
      <c r="U40" s="1" t="s">
        <v>44</v>
      </c>
      <c r="V40" s="1" t="s">
        <v>34</v>
      </c>
    </row>
    <row r="41" spans="1:22" x14ac:dyDescent="0.25">
      <c r="A41" s="1" t="s">
        <v>29</v>
      </c>
      <c r="B41" s="1" t="s">
        <v>241</v>
      </c>
      <c r="C41" s="1" t="s">
        <v>104</v>
      </c>
      <c r="D41" s="1" t="s">
        <v>111</v>
      </c>
      <c r="E41" s="1" t="s">
        <v>165</v>
      </c>
      <c r="F41" s="1" t="s">
        <v>242</v>
      </c>
      <c r="G41" s="1" t="s">
        <v>29</v>
      </c>
      <c r="H41" s="1" t="s">
        <v>141</v>
      </c>
      <c r="I41" s="1" t="s">
        <v>94</v>
      </c>
      <c r="J41" s="1" t="s">
        <v>48</v>
      </c>
      <c r="K41" s="1" t="s">
        <v>142</v>
      </c>
      <c r="L41" s="1" t="s">
        <v>123</v>
      </c>
      <c r="M41" s="1" t="s">
        <v>142</v>
      </c>
      <c r="N41" s="1" t="s">
        <v>126</v>
      </c>
      <c r="O41" s="1" t="s">
        <v>128</v>
      </c>
      <c r="P41" s="1" t="s">
        <v>130</v>
      </c>
      <c r="Q41" s="1" t="s">
        <v>86</v>
      </c>
      <c r="R41" s="1" t="s">
        <v>50</v>
      </c>
      <c r="S41" s="1" t="s">
        <v>656</v>
      </c>
      <c r="T41" s="1" t="s">
        <v>34</v>
      </c>
      <c r="U41" s="1" t="s">
        <v>44</v>
      </c>
      <c r="V41" s="1" t="s">
        <v>34</v>
      </c>
    </row>
    <row r="42" spans="1:22" x14ac:dyDescent="0.25">
      <c r="A42" s="1" t="s">
        <v>29</v>
      </c>
      <c r="B42" s="1" t="s">
        <v>243</v>
      </c>
      <c r="C42" s="1" t="s">
        <v>104</v>
      </c>
      <c r="D42" s="1" t="s">
        <v>111</v>
      </c>
      <c r="E42" s="1" t="s">
        <v>168</v>
      </c>
      <c r="F42" s="1" t="s">
        <v>244</v>
      </c>
      <c r="G42" s="1" t="s">
        <v>29</v>
      </c>
      <c r="H42" s="1" t="s">
        <v>141</v>
      </c>
      <c r="I42" s="1" t="s">
        <v>94</v>
      </c>
      <c r="J42" s="1" t="s">
        <v>48</v>
      </c>
      <c r="K42" s="1" t="s">
        <v>142</v>
      </c>
      <c r="L42" s="1" t="s">
        <v>123</v>
      </c>
      <c r="M42" s="1" t="s">
        <v>142</v>
      </c>
      <c r="N42" s="1" t="s">
        <v>126</v>
      </c>
      <c r="O42" s="1" t="s">
        <v>128</v>
      </c>
      <c r="P42" s="1" t="s">
        <v>130</v>
      </c>
      <c r="Q42" s="1" t="s">
        <v>86</v>
      </c>
      <c r="R42" s="1" t="s">
        <v>50</v>
      </c>
      <c r="S42" s="1" t="s">
        <v>656</v>
      </c>
      <c r="T42" s="1" t="s">
        <v>34</v>
      </c>
      <c r="U42" s="1" t="s">
        <v>44</v>
      </c>
      <c r="V42" s="1" t="s">
        <v>34</v>
      </c>
    </row>
    <row r="43" spans="1:22" x14ac:dyDescent="0.25">
      <c r="A43" s="1" t="s">
        <v>29</v>
      </c>
      <c r="B43" s="1" t="s">
        <v>245</v>
      </c>
      <c r="C43" s="1" t="s">
        <v>104</v>
      </c>
      <c r="D43" s="1" t="s">
        <v>111</v>
      </c>
      <c r="E43" s="1" t="s">
        <v>246</v>
      </c>
      <c r="F43" s="1" t="s">
        <v>247</v>
      </c>
      <c r="G43" s="1" t="s">
        <v>29</v>
      </c>
      <c r="H43" s="1" t="s">
        <v>141</v>
      </c>
      <c r="I43" s="1" t="s">
        <v>94</v>
      </c>
      <c r="J43" s="1" t="s">
        <v>48</v>
      </c>
      <c r="K43" s="1" t="s">
        <v>142</v>
      </c>
      <c r="L43" s="1" t="s">
        <v>123</v>
      </c>
      <c r="M43" s="1" t="s">
        <v>142</v>
      </c>
      <c r="N43" s="1" t="s">
        <v>126</v>
      </c>
      <c r="O43" s="1" t="s">
        <v>128</v>
      </c>
      <c r="P43" s="1" t="s">
        <v>130</v>
      </c>
      <c r="Q43" s="1" t="s">
        <v>86</v>
      </c>
      <c r="R43" s="1" t="s">
        <v>50</v>
      </c>
      <c r="S43" s="1" t="s">
        <v>656</v>
      </c>
      <c r="T43" s="1" t="s">
        <v>34</v>
      </c>
      <c r="U43" s="1" t="s">
        <v>44</v>
      </c>
      <c r="V43" s="1" t="s">
        <v>34</v>
      </c>
    </row>
    <row r="44" spans="1:22" x14ac:dyDescent="0.25">
      <c r="A44" s="1" t="s">
        <v>29</v>
      </c>
      <c r="B44" s="1" t="s">
        <v>248</v>
      </c>
      <c r="C44" s="1" t="s">
        <v>104</v>
      </c>
      <c r="D44" s="1" t="s">
        <v>111</v>
      </c>
      <c r="E44" s="1" t="s">
        <v>249</v>
      </c>
      <c r="F44" s="1" t="s">
        <v>250</v>
      </c>
      <c r="G44" s="1" t="s">
        <v>29</v>
      </c>
      <c r="H44" s="1" t="s">
        <v>141</v>
      </c>
      <c r="I44" s="1" t="s">
        <v>94</v>
      </c>
      <c r="J44" s="1" t="s">
        <v>48</v>
      </c>
      <c r="K44" s="1" t="s">
        <v>142</v>
      </c>
      <c r="L44" s="1" t="s">
        <v>123</v>
      </c>
      <c r="M44" s="1" t="s">
        <v>142</v>
      </c>
      <c r="N44" s="1" t="s">
        <v>126</v>
      </c>
      <c r="O44" s="1" t="s">
        <v>128</v>
      </c>
      <c r="P44" s="1" t="s">
        <v>130</v>
      </c>
      <c r="Q44" s="1" t="s">
        <v>86</v>
      </c>
      <c r="R44" s="1" t="s">
        <v>50</v>
      </c>
      <c r="S44" s="1" t="s">
        <v>656</v>
      </c>
      <c r="T44" s="1" t="s">
        <v>34</v>
      </c>
      <c r="U44" s="1" t="s">
        <v>44</v>
      </c>
      <c r="V44" s="1" t="s">
        <v>34</v>
      </c>
    </row>
    <row r="45" spans="1:22" x14ac:dyDescent="0.25">
      <c r="A45" s="1" t="s">
        <v>29</v>
      </c>
      <c r="B45" s="1" t="s">
        <v>251</v>
      </c>
      <c r="C45" s="1" t="s">
        <v>104</v>
      </c>
      <c r="D45" s="1" t="s">
        <v>111</v>
      </c>
      <c r="E45" s="1" t="s">
        <v>252</v>
      </c>
      <c r="F45" s="1" t="s">
        <v>253</v>
      </c>
      <c r="G45" s="1" t="s">
        <v>29</v>
      </c>
      <c r="H45" s="1" t="s">
        <v>141</v>
      </c>
      <c r="I45" s="1" t="s">
        <v>94</v>
      </c>
      <c r="J45" s="1" t="s">
        <v>48</v>
      </c>
      <c r="K45" s="1" t="s">
        <v>142</v>
      </c>
      <c r="L45" s="1" t="s">
        <v>123</v>
      </c>
      <c r="M45" s="1" t="s">
        <v>142</v>
      </c>
      <c r="N45" s="1" t="s">
        <v>126</v>
      </c>
      <c r="O45" s="1" t="s">
        <v>128</v>
      </c>
      <c r="P45" s="1" t="s">
        <v>130</v>
      </c>
      <c r="Q45" s="1" t="s">
        <v>86</v>
      </c>
      <c r="R45" s="1" t="s">
        <v>50</v>
      </c>
      <c r="S45" s="1" t="s">
        <v>656</v>
      </c>
      <c r="T45" s="1" t="s">
        <v>34</v>
      </c>
      <c r="U45" s="1" t="s">
        <v>44</v>
      </c>
      <c r="V45" s="1" t="s">
        <v>34</v>
      </c>
    </row>
    <row r="46" spans="1:22" x14ac:dyDescent="0.25">
      <c r="A46" s="1" t="s">
        <v>29</v>
      </c>
      <c r="B46" s="1" t="s">
        <v>254</v>
      </c>
      <c r="C46" s="1" t="s">
        <v>104</v>
      </c>
      <c r="D46" s="1" t="s">
        <v>111</v>
      </c>
      <c r="E46" s="1" t="s">
        <v>255</v>
      </c>
      <c r="F46" s="1" t="s">
        <v>256</v>
      </c>
      <c r="G46" s="1" t="s">
        <v>29</v>
      </c>
      <c r="H46" s="1" t="s">
        <v>141</v>
      </c>
      <c r="I46" s="1" t="s">
        <v>94</v>
      </c>
      <c r="J46" s="1" t="s">
        <v>48</v>
      </c>
      <c r="K46" s="1" t="s">
        <v>142</v>
      </c>
      <c r="L46" s="1" t="s">
        <v>123</v>
      </c>
      <c r="M46" s="1" t="s">
        <v>142</v>
      </c>
      <c r="N46" s="1" t="s">
        <v>126</v>
      </c>
      <c r="O46" s="1" t="s">
        <v>128</v>
      </c>
      <c r="P46" s="1" t="s">
        <v>130</v>
      </c>
      <c r="Q46" s="1" t="s">
        <v>86</v>
      </c>
      <c r="R46" s="1" t="s">
        <v>50</v>
      </c>
      <c r="S46" s="1" t="s">
        <v>656</v>
      </c>
      <c r="T46" s="1" t="s">
        <v>34</v>
      </c>
      <c r="U46" s="1" t="s">
        <v>44</v>
      </c>
      <c r="V46" s="1" t="s">
        <v>34</v>
      </c>
    </row>
    <row r="47" spans="1:22" x14ac:dyDescent="0.25">
      <c r="A47" s="1" t="s">
        <v>29</v>
      </c>
      <c r="B47" s="1" t="s">
        <v>257</v>
      </c>
      <c r="C47" s="1" t="s">
        <v>104</v>
      </c>
      <c r="D47" s="1" t="s">
        <v>111</v>
      </c>
      <c r="E47" s="1" t="s">
        <v>258</v>
      </c>
      <c r="F47" s="1" t="s">
        <v>259</v>
      </c>
      <c r="G47" s="1" t="s">
        <v>29</v>
      </c>
      <c r="H47" s="1" t="s">
        <v>141</v>
      </c>
      <c r="I47" s="1" t="s">
        <v>94</v>
      </c>
      <c r="J47" s="1" t="s">
        <v>48</v>
      </c>
      <c r="K47" s="1" t="s">
        <v>142</v>
      </c>
      <c r="L47" s="1" t="s">
        <v>123</v>
      </c>
      <c r="M47" s="1" t="s">
        <v>142</v>
      </c>
      <c r="N47" s="1" t="s">
        <v>126</v>
      </c>
      <c r="O47" s="1" t="s">
        <v>128</v>
      </c>
      <c r="P47" s="1" t="s">
        <v>130</v>
      </c>
      <c r="Q47" s="1" t="s">
        <v>86</v>
      </c>
      <c r="R47" s="1" t="s">
        <v>50</v>
      </c>
      <c r="S47" s="1" t="s">
        <v>656</v>
      </c>
      <c r="T47" s="1" t="s">
        <v>34</v>
      </c>
      <c r="U47" s="1" t="s">
        <v>44</v>
      </c>
      <c r="V47" s="1" t="s">
        <v>34</v>
      </c>
    </row>
    <row r="48" spans="1:22" x14ac:dyDescent="0.25">
      <c r="A48" s="1" t="s">
        <v>29</v>
      </c>
      <c r="B48" s="1" t="s">
        <v>260</v>
      </c>
      <c r="C48" s="1" t="s">
        <v>104</v>
      </c>
      <c r="D48" s="1" t="s">
        <v>111</v>
      </c>
      <c r="E48" s="1" t="s">
        <v>261</v>
      </c>
      <c r="F48" s="1" t="s">
        <v>262</v>
      </c>
      <c r="G48" s="1" t="s">
        <v>29</v>
      </c>
      <c r="H48" s="1" t="s">
        <v>141</v>
      </c>
      <c r="I48" s="1" t="s">
        <v>94</v>
      </c>
      <c r="J48" s="1" t="s">
        <v>48</v>
      </c>
      <c r="K48" s="1" t="s">
        <v>142</v>
      </c>
      <c r="L48" s="1" t="s">
        <v>123</v>
      </c>
      <c r="M48" s="1" t="s">
        <v>142</v>
      </c>
      <c r="N48" s="1" t="s">
        <v>126</v>
      </c>
      <c r="O48" s="1" t="s">
        <v>128</v>
      </c>
      <c r="P48" s="1" t="s">
        <v>130</v>
      </c>
      <c r="Q48" s="1" t="s">
        <v>86</v>
      </c>
      <c r="R48" s="1" t="s">
        <v>50</v>
      </c>
      <c r="S48" s="1" t="s">
        <v>656</v>
      </c>
      <c r="T48" s="1" t="s">
        <v>34</v>
      </c>
      <c r="U48" s="1" t="s">
        <v>44</v>
      </c>
      <c r="V48" s="1" t="s">
        <v>34</v>
      </c>
    </row>
    <row r="49" spans="1:22" x14ac:dyDescent="0.25">
      <c r="A49" s="1" t="s">
        <v>29</v>
      </c>
      <c r="B49" s="1" t="s">
        <v>263</v>
      </c>
      <c r="C49" s="1" t="s">
        <v>104</v>
      </c>
      <c r="D49" s="1" t="s">
        <v>111</v>
      </c>
      <c r="E49" s="1" t="s">
        <v>264</v>
      </c>
      <c r="F49" s="1" t="s">
        <v>265</v>
      </c>
      <c r="G49" s="1" t="s">
        <v>29</v>
      </c>
      <c r="H49" s="1" t="s">
        <v>141</v>
      </c>
      <c r="I49" s="1" t="s">
        <v>94</v>
      </c>
      <c r="J49" s="1" t="s">
        <v>48</v>
      </c>
      <c r="K49" s="1" t="s">
        <v>142</v>
      </c>
      <c r="L49" s="1" t="s">
        <v>123</v>
      </c>
      <c r="M49" s="1" t="s">
        <v>142</v>
      </c>
      <c r="N49" s="1" t="s">
        <v>126</v>
      </c>
      <c r="O49" s="1" t="s">
        <v>128</v>
      </c>
      <c r="P49" s="1" t="s">
        <v>130</v>
      </c>
      <c r="Q49" s="1" t="s">
        <v>86</v>
      </c>
      <c r="R49" s="1" t="s">
        <v>50</v>
      </c>
      <c r="S49" s="1" t="s">
        <v>656</v>
      </c>
      <c r="T49" s="1" t="s">
        <v>34</v>
      </c>
      <c r="U49" s="1" t="s">
        <v>44</v>
      </c>
      <c r="V49" s="1" t="s">
        <v>34</v>
      </c>
    </row>
    <row r="50" spans="1:22" x14ac:dyDescent="0.25">
      <c r="A50" s="1" t="s">
        <v>29</v>
      </c>
      <c r="B50" s="1" t="s">
        <v>266</v>
      </c>
      <c r="C50" s="1" t="s">
        <v>104</v>
      </c>
      <c r="D50" s="1" t="s">
        <v>111</v>
      </c>
      <c r="E50" s="1" t="s">
        <v>267</v>
      </c>
      <c r="F50" s="1" t="s">
        <v>268</v>
      </c>
      <c r="G50" s="1" t="s">
        <v>29</v>
      </c>
      <c r="H50" s="1" t="s">
        <v>141</v>
      </c>
      <c r="I50" s="1" t="s">
        <v>94</v>
      </c>
      <c r="J50" s="1" t="s">
        <v>48</v>
      </c>
      <c r="K50" s="1" t="s">
        <v>142</v>
      </c>
      <c r="L50" s="1" t="s">
        <v>123</v>
      </c>
      <c r="M50" s="1" t="s">
        <v>142</v>
      </c>
      <c r="N50" s="1" t="s">
        <v>126</v>
      </c>
      <c r="O50" s="1" t="s">
        <v>128</v>
      </c>
      <c r="P50" s="1" t="s">
        <v>130</v>
      </c>
      <c r="Q50" s="1" t="s">
        <v>86</v>
      </c>
      <c r="R50" s="1" t="s">
        <v>50</v>
      </c>
      <c r="S50" s="1" t="s">
        <v>656</v>
      </c>
      <c r="T50" s="1" t="s">
        <v>34</v>
      </c>
      <c r="U50" s="1" t="s">
        <v>44</v>
      </c>
      <c r="V50" s="1" t="s">
        <v>34</v>
      </c>
    </row>
    <row r="51" spans="1:22" x14ac:dyDescent="0.25">
      <c r="A51" s="1" t="s">
        <v>29</v>
      </c>
      <c r="B51" s="1" t="s">
        <v>269</v>
      </c>
      <c r="C51" s="1" t="s">
        <v>104</v>
      </c>
      <c r="D51" s="1" t="s">
        <v>111</v>
      </c>
      <c r="E51" s="1" t="s">
        <v>270</v>
      </c>
      <c r="F51" s="1" t="s">
        <v>271</v>
      </c>
      <c r="G51" s="1" t="s">
        <v>29</v>
      </c>
      <c r="H51" s="1" t="s">
        <v>141</v>
      </c>
      <c r="I51" s="1" t="s">
        <v>94</v>
      </c>
      <c r="J51" s="1" t="s">
        <v>48</v>
      </c>
      <c r="K51" s="1" t="s">
        <v>142</v>
      </c>
      <c r="L51" s="1" t="s">
        <v>123</v>
      </c>
      <c r="M51" s="1" t="s">
        <v>142</v>
      </c>
      <c r="N51" s="1" t="s">
        <v>126</v>
      </c>
      <c r="O51" s="1" t="s">
        <v>128</v>
      </c>
      <c r="P51" s="1" t="s">
        <v>130</v>
      </c>
      <c r="Q51" s="1" t="s">
        <v>86</v>
      </c>
      <c r="R51" s="1" t="s">
        <v>50</v>
      </c>
      <c r="S51" s="1" t="s">
        <v>656</v>
      </c>
      <c r="T51" s="1" t="s">
        <v>34</v>
      </c>
      <c r="U51" s="1" t="s">
        <v>44</v>
      </c>
      <c r="V51" s="1" t="s">
        <v>34</v>
      </c>
    </row>
    <row r="52" spans="1:22" x14ac:dyDescent="0.25">
      <c r="A52" s="1" t="s">
        <v>29</v>
      </c>
      <c r="B52" s="1" t="s">
        <v>272</v>
      </c>
      <c r="C52" s="1" t="s">
        <v>104</v>
      </c>
      <c r="D52" s="1" t="s">
        <v>111</v>
      </c>
      <c r="E52" s="1" t="s">
        <v>273</v>
      </c>
      <c r="F52" s="1" t="s">
        <v>274</v>
      </c>
      <c r="G52" s="1" t="s">
        <v>29</v>
      </c>
      <c r="H52" s="1" t="s">
        <v>141</v>
      </c>
      <c r="I52" s="1" t="s">
        <v>94</v>
      </c>
      <c r="J52" s="1" t="s">
        <v>48</v>
      </c>
      <c r="K52" s="1" t="s">
        <v>142</v>
      </c>
      <c r="L52" s="1" t="s">
        <v>123</v>
      </c>
      <c r="M52" s="1" t="s">
        <v>142</v>
      </c>
      <c r="N52" s="1" t="s">
        <v>126</v>
      </c>
      <c r="O52" s="1" t="s">
        <v>128</v>
      </c>
      <c r="P52" s="1" t="s">
        <v>130</v>
      </c>
      <c r="Q52" s="1" t="s">
        <v>86</v>
      </c>
      <c r="R52" s="1" t="s">
        <v>50</v>
      </c>
      <c r="S52" s="1" t="s">
        <v>656</v>
      </c>
      <c r="T52" s="1" t="s">
        <v>34</v>
      </c>
      <c r="U52" s="1" t="s">
        <v>44</v>
      </c>
      <c r="V52" s="1" t="s">
        <v>34</v>
      </c>
    </row>
    <row r="53" spans="1:22" x14ac:dyDescent="0.25">
      <c r="A53" s="1" t="s">
        <v>29</v>
      </c>
      <c r="B53" s="1" t="s">
        <v>275</v>
      </c>
      <c r="C53" s="1" t="s">
        <v>104</v>
      </c>
      <c r="D53" s="1" t="s">
        <v>111</v>
      </c>
      <c r="E53" s="1" t="s">
        <v>276</v>
      </c>
      <c r="F53" s="1" t="s">
        <v>277</v>
      </c>
      <c r="G53" s="1" t="s">
        <v>29</v>
      </c>
      <c r="H53" s="1" t="s">
        <v>141</v>
      </c>
      <c r="I53" s="1" t="s">
        <v>94</v>
      </c>
      <c r="J53" s="1" t="s">
        <v>48</v>
      </c>
      <c r="K53" s="1" t="s">
        <v>142</v>
      </c>
      <c r="L53" s="1" t="s">
        <v>123</v>
      </c>
      <c r="M53" s="1" t="s">
        <v>142</v>
      </c>
      <c r="N53" s="1" t="s">
        <v>126</v>
      </c>
      <c r="O53" s="1" t="s">
        <v>128</v>
      </c>
      <c r="P53" s="1" t="s">
        <v>130</v>
      </c>
      <c r="Q53" s="1" t="s">
        <v>86</v>
      </c>
      <c r="R53" s="1" t="s">
        <v>50</v>
      </c>
      <c r="S53" s="1" t="s">
        <v>656</v>
      </c>
      <c r="T53" s="1" t="s">
        <v>34</v>
      </c>
      <c r="U53" s="1" t="s">
        <v>44</v>
      </c>
      <c r="V53" s="1" t="s">
        <v>34</v>
      </c>
    </row>
    <row r="54" spans="1:22" x14ac:dyDescent="0.25">
      <c r="A54" s="1" t="s">
        <v>29</v>
      </c>
      <c r="B54" s="1" t="s">
        <v>278</v>
      </c>
      <c r="C54" s="1" t="s">
        <v>104</v>
      </c>
      <c r="D54" s="1" t="s">
        <v>111</v>
      </c>
      <c r="E54" s="1" t="s">
        <v>279</v>
      </c>
      <c r="F54" s="1" t="s">
        <v>280</v>
      </c>
      <c r="G54" s="1" t="s">
        <v>29</v>
      </c>
      <c r="H54" s="1" t="s">
        <v>141</v>
      </c>
      <c r="I54" s="1" t="s">
        <v>94</v>
      </c>
      <c r="J54" s="1" t="s">
        <v>48</v>
      </c>
      <c r="K54" s="1" t="s">
        <v>142</v>
      </c>
      <c r="L54" s="1" t="s">
        <v>123</v>
      </c>
      <c r="M54" s="1" t="s">
        <v>142</v>
      </c>
      <c r="N54" s="1" t="s">
        <v>126</v>
      </c>
      <c r="O54" s="1" t="s">
        <v>128</v>
      </c>
      <c r="P54" s="1" t="s">
        <v>130</v>
      </c>
      <c r="Q54" s="1" t="s">
        <v>86</v>
      </c>
      <c r="R54" s="1" t="s">
        <v>50</v>
      </c>
      <c r="S54" s="1" t="s">
        <v>656</v>
      </c>
      <c r="T54" s="1" t="s">
        <v>34</v>
      </c>
      <c r="U54" s="1" t="s">
        <v>44</v>
      </c>
      <c r="V54" s="1" t="s">
        <v>34</v>
      </c>
    </row>
    <row r="55" spans="1:22" x14ac:dyDescent="0.25">
      <c r="A55" s="1" t="s">
        <v>29</v>
      </c>
      <c r="B55" s="1" t="s">
        <v>281</v>
      </c>
      <c r="C55" s="1" t="s">
        <v>104</v>
      </c>
      <c r="D55" s="1" t="s">
        <v>111</v>
      </c>
      <c r="E55" s="1" t="s">
        <v>282</v>
      </c>
      <c r="F55" s="1" t="s">
        <v>283</v>
      </c>
      <c r="G55" s="1" t="s">
        <v>29</v>
      </c>
      <c r="H55" s="1" t="s">
        <v>141</v>
      </c>
      <c r="I55" s="1" t="s">
        <v>94</v>
      </c>
      <c r="J55" s="1" t="s">
        <v>48</v>
      </c>
      <c r="K55" s="1" t="s">
        <v>142</v>
      </c>
      <c r="L55" s="1" t="s">
        <v>123</v>
      </c>
      <c r="M55" s="1" t="s">
        <v>142</v>
      </c>
      <c r="N55" s="1" t="s">
        <v>126</v>
      </c>
      <c r="O55" s="1" t="s">
        <v>128</v>
      </c>
      <c r="P55" s="1" t="s">
        <v>130</v>
      </c>
      <c r="Q55" s="1" t="s">
        <v>86</v>
      </c>
      <c r="R55" s="1" t="s">
        <v>50</v>
      </c>
      <c r="S55" s="1" t="s">
        <v>656</v>
      </c>
      <c r="T55" s="1" t="s">
        <v>34</v>
      </c>
      <c r="U55" s="1" t="s">
        <v>44</v>
      </c>
      <c r="V55" s="1" t="s">
        <v>34</v>
      </c>
    </row>
    <row r="56" spans="1:22" x14ac:dyDescent="0.25">
      <c r="A56" s="1" t="s">
        <v>29</v>
      </c>
      <c r="B56" s="1" t="s">
        <v>284</v>
      </c>
      <c r="C56" s="1" t="s">
        <v>104</v>
      </c>
      <c r="D56" s="1" t="s">
        <v>111</v>
      </c>
      <c r="E56" s="1" t="s">
        <v>285</v>
      </c>
      <c r="F56" s="1" t="s">
        <v>286</v>
      </c>
      <c r="G56" s="1" t="s">
        <v>29</v>
      </c>
      <c r="H56" s="1" t="s">
        <v>141</v>
      </c>
      <c r="I56" s="1" t="s">
        <v>94</v>
      </c>
      <c r="J56" s="1" t="s">
        <v>48</v>
      </c>
      <c r="K56" s="1" t="s">
        <v>142</v>
      </c>
      <c r="L56" s="1" t="s">
        <v>123</v>
      </c>
      <c r="M56" s="1" t="s">
        <v>142</v>
      </c>
      <c r="N56" s="1" t="s">
        <v>126</v>
      </c>
      <c r="O56" s="1" t="s">
        <v>128</v>
      </c>
      <c r="P56" s="1" t="s">
        <v>130</v>
      </c>
      <c r="Q56" s="1" t="s">
        <v>86</v>
      </c>
      <c r="R56" s="1" t="s">
        <v>50</v>
      </c>
      <c r="S56" s="1" t="s">
        <v>656</v>
      </c>
      <c r="T56" s="1" t="s">
        <v>34</v>
      </c>
      <c r="U56" s="1" t="s">
        <v>44</v>
      </c>
      <c r="V56" s="1" t="s">
        <v>34</v>
      </c>
    </row>
    <row r="57" spans="1:22" x14ac:dyDescent="0.25">
      <c r="A57" s="1" t="s">
        <v>29</v>
      </c>
      <c r="B57" s="1" t="s">
        <v>287</v>
      </c>
      <c r="C57" s="1" t="s">
        <v>104</v>
      </c>
      <c r="D57" s="1" t="s">
        <v>111</v>
      </c>
      <c r="E57" s="1" t="s">
        <v>288</v>
      </c>
      <c r="F57" s="1" t="s">
        <v>289</v>
      </c>
      <c r="G57" s="1" t="s">
        <v>29</v>
      </c>
      <c r="H57" s="1" t="s">
        <v>141</v>
      </c>
      <c r="I57" s="1" t="s">
        <v>94</v>
      </c>
      <c r="J57" s="1" t="s">
        <v>48</v>
      </c>
      <c r="K57" s="1" t="s">
        <v>142</v>
      </c>
      <c r="L57" s="1" t="s">
        <v>123</v>
      </c>
      <c r="M57" s="1" t="s">
        <v>142</v>
      </c>
      <c r="N57" s="1" t="s">
        <v>126</v>
      </c>
      <c r="O57" s="1" t="s">
        <v>128</v>
      </c>
      <c r="P57" s="1" t="s">
        <v>130</v>
      </c>
      <c r="Q57" s="1" t="s">
        <v>86</v>
      </c>
      <c r="R57" s="1" t="s">
        <v>50</v>
      </c>
      <c r="S57" s="1" t="s">
        <v>656</v>
      </c>
      <c r="T57" s="1" t="s">
        <v>34</v>
      </c>
      <c r="U57" s="1" t="s">
        <v>44</v>
      </c>
      <c r="V57" s="1" t="s">
        <v>34</v>
      </c>
    </row>
    <row r="58" spans="1:22" x14ac:dyDescent="0.25">
      <c r="A58" s="1" t="s">
        <v>29</v>
      </c>
      <c r="B58" s="1" t="s">
        <v>290</v>
      </c>
      <c r="C58" s="1" t="s">
        <v>104</v>
      </c>
      <c r="D58" s="1" t="s">
        <v>111</v>
      </c>
      <c r="E58" s="1" t="s">
        <v>291</v>
      </c>
      <c r="F58" s="1" t="s">
        <v>292</v>
      </c>
      <c r="G58" s="1" t="s">
        <v>29</v>
      </c>
      <c r="H58" s="1" t="s">
        <v>141</v>
      </c>
      <c r="I58" s="1" t="s">
        <v>94</v>
      </c>
      <c r="J58" s="1" t="s">
        <v>48</v>
      </c>
      <c r="K58" s="1" t="s">
        <v>142</v>
      </c>
      <c r="L58" s="1" t="s">
        <v>123</v>
      </c>
      <c r="M58" s="1" t="s">
        <v>142</v>
      </c>
      <c r="N58" s="1" t="s">
        <v>126</v>
      </c>
      <c r="O58" s="1" t="s">
        <v>128</v>
      </c>
      <c r="P58" s="1" t="s">
        <v>130</v>
      </c>
      <c r="Q58" s="1" t="s">
        <v>86</v>
      </c>
      <c r="R58" s="1" t="s">
        <v>50</v>
      </c>
      <c r="S58" s="1" t="s">
        <v>656</v>
      </c>
      <c r="T58" s="1" t="s">
        <v>34</v>
      </c>
      <c r="U58" s="1" t="s">
        <v>44</v>
      </c>
      <c r="V58" s="1" t="s">
        <v>34</v>
      </c>
    </row>
    <row r="59" spans="1:22" x14ac:dyDescent="0.25">
      <c r="A59" s="1" t="s">
        <v>29</v>
      </c>
      <c r="B59" s="1" t="s">
        <v>293</v>
      </c>
      <c r="C59" s="1" t="s">
        <v>104</v>
      </c>
      <c r="D59" s="1" t="s">
        <v>111</v>
      </c>
      <c r="E59" s="1" t="s">
        <v>294</v>
      </c>
      <c r="F59" s="1" t="s">
        <v>295</v>
      </c>
      <c r="G59" s="1" t="s">
        <v>29</v>
      </c>
      <c r="H59" s="1" t="s">
        <v>141</v>
      </c>
      <c r="I59" s="1" t="s">
        <v>94</v>
      </c>
      <c r="J59" s="1" t="s">
        <v>48</v>
      </c>
      <c r="K59" s="1" t="s">
        <v>142</v>
      </c>
      <c r="L59" s="1" t="s">
        <v>123</v>
      </c>
      <c r="M59" s="1" t="s">
        <v>142</v>
      </c>
      <c r="N59" s="1" t="s">
        <v>126</v>
      </c>
      <c r="O59" s="1" t="s">
        <v>128</v>
      </c>
      <c r="P59" s="1" t="s">
        <v>130</v>
      </c>
      <c r="Q59" s="1" t="s">
        <v>86</v>
      </c>
      <c r="R59" s="1" t="s">
        <v>50</v>
      </c>
      <c r="S59" s="1" t="s">
        <v>656</v>
      </c>
      <c r="T59" s="1" t="s">
        <v>34</v>
      </c>
      <c r="U59" s="1" t="s">
        <v>44</v>
      </c>
      <c r="V59" s="1" t="s">
        <v>34</v>
      </c>
    </row>
    <row r="60" spans="1:22" x14ac:dyDescent="0.25">
      <c r="A60" s="1" t="s">
        <v>29</v>
      </c>
      <c r="B60" s="1" t="s">
        <v>296</v>
      </c>
      <c r="C60" s="1" t="s">
        <v>104</v>
      </c>
      <c r="D60" s="1" t="s">
        <v>111</v>
      </c>
      <c r="E60" s="1" t="s">
        <v>297</v>
      </c>
      <c r="F60" s="1" t="s">
        <v>298</v>
      </c>
      <c r="G60" s="1" t="s">
        <v>29</v>
      </c>
      <c r="H60" s="1" t="s">
        <v>141</v>
      </c>
      <c r="I60" s="1" t="s">
        <v>94</v>
      </c>
      <c r="J60" s="1" t="s">
        <v>48</v>
      </c>
      <c r="K60" s="1" t="s">
        <v>142</v>
      </c>
      <c r="L60" s="1" t="s">
        <v>123</v>
      </c>
      <c r="M60" s="1" t="s">
        <v>142</v>
      </c>
      <c r="N60" s="1" t="s">
        <v>126</v>
      </c>
      <c r="O60" s="1" t="s">
        <v>128</v>
      </c>
      <c r="P60" s="1" t="s">
        <v>130</v>
      </c>
      <c r="Q60" s="1" t="s">
        <v>86</v>
      </c>
      <c r="R60" s="1" t="s">
        <v>50</v>
      </c>
      <c r="S60" s="1" t="s">
        <v>656</v>
      </c>
      <c r="T60" s="1" t="s">
        <v>34</v>
      </c>
      <c r="U60" s="1" t="s">
        <v>44</v>
      </c>
      <c r="V60" s="1" t="s">
        <v>34</v>
      </c>
    </row>
    <row r="61" spans="1:22" x14ac:dyDescent="0.25">
      <c r="A61" s="1" t="s">
        <v>29</v>
      </c>
      <c r="B61" s="1" t="s">
        <v>299</v>
      </c>
      <c r="C61" s="1" t="s">
        <v>104</v>
      </c>
      <c r="D61" s="1" t="s">
        <v>111</v>
      </c>
      <c r="E61" s="1" t="s">
        <v>300</v>
      </c>
      <c r="F61" s="1" t="s">
        <v>301</v>
      </c>
      <c r="G61" s="1" t="s">
        <v>29</v>
      </c>
      <c r="H61" s="1" t="s">
        <v>141</v>
      </c>
      <c r="I61" s="1" t="s">
        <v>94</v>
      </c>
      <c r="J61" s="1" t="s">
        <v>48</v>
      </c>
      <c r="K61" s="1" t="s">
        <v>142</v>
      </c>
      <c r="L61" s="1" t="s">
        <v>123</v>
      </c>
      <c r="M61" s="1" t="s">
        <v>142</v>
      </c>
      <c r="N61" s="1" t="s">
        <v>126</v>
      </c>
      <c r="O61" s="1" t="s">
        <v>128</v>
      </c>
      <c r="P61" s="1" t="s">
        <v>130</v>
      </c>
      <c r="Q61" s="1" t="s">
        <v>86</v>
      </c>
      <c r="R61" s="1" t="s">
        <v>50</v>
      </c>
      <c r="S61" s="1" t="s">
        <v>656</v>
      </c>
      <c r="T61" s="1" t="s">
        <v>34</v>
      </c>
      <c r="U61" s="1" t="s">
        <v>44</v>
      </c>
      <c r="V61" s="1" t="s">
        <v>34</v>
      </c>
    </row>
    <row r="62" spans="1:22" x14ac:dyDescent="0.25">
      <c r="A62" s="1" t="s">
        <v>29</v>
      </c>
      <c r="B62" s="1" t="s">
        <v>302</v>
      </c>
      <c r="C62" s="1" t="s">
        <v>104</v>
      </c>
      <c r="D62" s="1" t="s">
        <v>111</v>
      </c>
      <c r="E62" s="1" t="s">
        <v>303</v>
      </c>
      <c r="F62" s="1" t="s">
        <v>304</v>
      </c>
      <c r="G62" s="1" t="s">
        <v>29</v>
      </c>
      <c r="H62" s="1" t="s">
        <v>141</v>
      </c>
      <c r="I62" s="1" t="s">
        <v>94</v>
      </c>
      <c r="J62" s="1" t="s">
        <v>48</v>
      </c>
      <c r="K62" s="1" t="s">
        <v>142</v>
      </c>
      <c r="L62" s="1" t="s">
        <v>123</v>
      </c>
      <c r="M62" s="1" t="s">
        <v>142</v>
      </c>
      <c r="N62" s="1" t="s">
        <v>126</v>
      </c>
      <c r="O62" s="1" t="s">
        <v>128</v>
      </c>
      <c r="P62" s="1" t="s">
        <v>130</v>
      </c>
      <c r="Q62" s="1" t="s">
        <v>86</v>
      </c>
      <c r="R62" s="1" t="s">
        <v>50</v>
      </c>
      <c r="S62" s="1" t="s">
        <v>656</v>
      </c>
      <c r="T62" s="1" t="s">
        <v>34</v>
      </c>
      <c r="U62" s="1" t="s">
        <v>44</v>
      </c>
      <c r="V62" s="1" t="s">
        <v>34</v>
      </c>
    </row>
    <row r="63" spans="1:22" x14ac:dyDescent="0.25">
      <c r="A63" s="1" t="s">
        <v>29</v>
      </c>
      <c r="B63" s="1" t="s">
        <v>305</v>
      </c>
      <c r="C63" s="1" t="s">
        <v>104</v>
      </c>
      <c r="D63" s="1" t="s">
        <v>111</v>
      </c>
      <c r="E63" s="1" t="s">
        <v>306</v>
      </c>
      <c r="F63" s="1" t="s">
        <v>307</v>
      </c>
      <c r="G63" s="1" t="s">
        <v>29</v>
      </c>
      <c r="H63" s="1" t="s">
        <v>141</v>
      </c>
      <c r="I63" s="1" t="s">
        <v>94</v>
      </c>
      <c r="J63" s="1" t="s">
        <v>48</v>
      </c>
      <c r="K63" s="1" t="s">
        <v>142</v>
      </c>
      <c r="L63" s="1" t="s">
        <v>123</v>
      </c>
      <c r="M63" s="1" t="s">
        <v>142</v>
      </c>
      <c r="N63" s="1" t="s">
        <v>126</v>
      </c>
      <c r="O63" s="1" t="s">
        <v>128</v>
      </c>
      <c r="P63" s="1" t="s">
        <v>130</v>
      </c>
      <c r="Q63" s="1" t="s">
        <v>86</v>
      </c>
      <c r="R63" s="1" t="s">
        <v>50</v>
      </c>
      <c r="S63" s="1" t="s">
        <v>656</v>
      </c>
      <c r="T63" s="1" t="s">
        <v>34</v>
      </c>
      <c r="U63" s="1" t="s">
        <v>44</v>
      </c>
      <c r="V63" s="1" t="s">
        <v>34</v>
      </c>
    </row>
    <row r="64" spans="1:22" x14ac:dyDescent="0.25">
      <c r="A64" s="1" t="s">
        <v>29</v>
      </c>
      <c r="B64" s="1" t="s">
        <v>308</v>
      </c>
      <c r="C64" s="1" t="s">
        <v>104</v>
      </c>
      <c r="D64" s="1" t="s">
        <v>111</v>
      </c>
      <c r="E64" s="1" t="s">
        <v>309</v>
      </c>
      <c r="F64" s="1" t="s">
        <v>310</v>
      </c>
      <c r="G64" s="1" t="s">
        <v>29</v>
      </c>
      <c r="H64" s="1" t="s">
        <v>141</v>
      </c>
      <c r="I64" s="1" t="s">
        <v>94</v>
      </c>
      <c r="J64" s="1" t="s">
        <v>48</v>
      </c>
      <c r="K64" s="1" t="s">
        <v>142</v>
      </c>
      <c r="L64" s="1" t="s">
        <v>123</v>
      </c>
      <c r="M64" s="1" t="s">
        <v>142</v>
      </c>
      <c r="N64" s="1" t="s">
        <v>126</v>
      </c>
      <c r="O64" s="1" t="s">
        <v>128</v>
      </c>
      <c r="P64" s="1" t="s">
        <v>130</v>
      </c>
      <c r="Q64" s="1" t="s">
        <v>86</v>
      </c>
      <c r="R64" s="1" t="s">
        <v>50</v>
      </c>
      <c r="S64" s="1" t="s">
        <v>656</v>
      </c>
      <c r="T64" s="1" t="s">
        <v>34</v>
      </c>
      <c r="U64" s="1" t="s">
        <v>44</v>
      </c>
      <c r="V64" s="1" t="s">
        <v>34</v>
      </c>
    </row>
    <row r="65" spans="1:22" x14ac:dyDescent="0.25">
      <c r="A65" s="1" t="s">
        <v>29</v>
      </c>
      <c r="B65" s="1" t="s">
        <v>311</v>
      </c>
      <c r="C65" s="1" t="s">
        <v>104</v>
      </c>
      <c r="D65" s="1" t="s">
        <v>111</v>
      </c>
      <c r="E65" s="1" t="s">
        <v>312</v>
      </c>
      <c r="F65" s="1" t="s">
        <v>313</v>
      </c>
      <c r="G65" s="1" t="s">
        <v>29</v>
      </c>
      <c r="H65" s="1" t="s">
        <v>141</v>
      </c>
      <c r="I65" s="1" t="s">
        <v>94</v>
      </c>
      <c r="J65" s="1" t="s">
        <v>48</v>
      </c>
      <c r="K65" s="1" t="s">
        <v>142</v>
      </c>
      <c r="L65" s="1" t="s">
        <v>123</v>
      </c>
      <c r="M65" s="1" t="s">
        <v>142</v>
      </c>
      <c r="N65" s="1" t="s">
        <v>126</v>
      </c>
      <c r="O65" s="1" t="s">
        <v>128</v>
      </c>
      <c r="P65" s="1" t="s">
        <v>130</v>
      </c>
      <c r="Q65" s="1" t="s">
        <v>86</v>
      </c>
      <c r="R65" s="1" t="s">
        <v>50</v>
      </c>
      <c r="S65" s="1" t="s">
        <v>656</v>
      </c>
      <c r="T65" s="1" t="s">
        <v>34</v>
      </c>
      <c r="U65" s="1" t="s">
        <v>44</v>
      </c>
      <c r="V65" s="1" t="s">
        <v>34</v>
      </c>
    </row>
    <row r="66" spans="1:22" x14ac:dyDescent="0.25">
      <c r="A66" s="1" t="s">
        <v>29</v>
      </c>
      <c r="B66" s="1" t="s">
        <v>314</v>
      </c>
      <c r="C66" s="1" t="s">
        <v>104</v>
      </c>
      <c r="D66" s="1" t="s">
        <v>111</v>
      </c>
      <c r="E66" s="1" t="s">
        <v>315</v>
      </c>
      <c r="F66" s="1" t="s">
        <v>316</v>
      </c>
      <c r="G66" s="1" t="s">
        <v>29</v>
      </c>
      <c r="H66" s="1" t="s">
        <v>141</v>
      </c>
      <c r="I66" s="1" t="s">
        <v>94</v>
      </c>
      <c r="J66" s="1" t="s">
        <v>48</v>
      </c>
      <c r="K66" s="1" t="s">
        <v>142</v>
      </c>
      <c r="L66" s="1" t="s">
        <v>123</v>
      </c>
      <c r="M66" s="1" t="s">
        <v>142</v>
      </c>
      <c r="N66" s="1" t="s">
        <v>126</v>
      </c>
      <c r="O66" s="1" t="s">
        <v>128</v>
      </c>
      <c r="P66" s="1" t="s">
        <v>130</v>
      </c>
      <c r="Q66" s="1" t="s">
        <v>86</v>
      </c>
      <c r="R66" s="1" t="s">
        <v>50</v>
      </c>
      <c r="S66" s="1" t="s">
        <v>656</v>
      </c>
      <c r="T66" s="1" t="s">
        <v>34</v>
      </c>
      <c r="U66" s="1" t="s">
        <v>44</v>
      </c>
      <c r="V66" s="1" t="s">
        <v>34</v>
      </c>
    </row>
    <row r="67" spans="1:22" x14ac:dyDescent="0.25">
      <c r="A67" s="1" t="s">
        <v>29</v>
      </c>
      <c r="B67" s="1" t="s">
        <v>317</v>
      </c>
      <c r="C67" s="1" t="s">
        <v>104</v>
      </c>
      <c r="D67" s="1" t="s">
        <v>111</v>
      </c>
      <c r="E67" s="1" t="s">
        <v>318</v>
      </c>
      <c r="F67" s="1" t="s">
        <v>319</v>
      </c>
      <c r="G67" s="1" t="s">
        <v>29</v>
      </c>
      <c r="H67" s="1" t="s">
        <v>141</v>
      </c>
      <c r="I67" s="1" t="s">
        <v>94</v>
      </c>
      <c r="J67" s="1" t="s">
        <v>48</v>
      </c>
      <c r="K67" s="1" t="s">
        <v>142</v>
      </c>
      <c r="L67" s="1" t="s">
        <v>123</v>
      </c>
      <c r="M67" s="1" t="s">
        <v>142</v>
      </c>
      <c r="N67" s="1" t="s">
        <v>126</v>
      </c>
      <c r="O67" s="1" t="s">
        <v>128</v>
      </c>
      <c r="P67" s="1" t="s">
        <v>130</v>
      </c>
      <c r="Q67" s="1" t="s">
        <v>86</v>
      </c>
      <c r="R67" s="1" t="s">
        <v>50</v>
      </c>
      <c r="S67" s="1" t="s">
        <v>656</v>
      </c>
      <c r="T67" s="1" t="s">
        <v>34</v>
      </c>
      <c r="U67" s="1" t="s">
        <v>44</v>
      </c>
      <c r="V67" s="1" t="s">
        <v>34</v>
      </c>
    </row>
    <row r="68" spans="1:22" x14ac:dyDescent="0.25">
      <c r="A68" s="1" t="s">
        <v>29</v>
      </c>
      <c r="B68" s="1" t="s">
        <v>320</v>
      </c>
      <c r="C68" s="1" t="s">
        <v>104</v>
      </c>
      <c r="D68" s="1" t="s">
        <v>111</v>
      </c>
      <c r="E68" s="1" t="s">
        <v>321</v>
      </c>
      <c r="F68" s="1" t="s">
        <v>322</v>
      </c>
      <c r="G68" s="1" t="s">
        <v>29</v>
      </c>
      <c r="H68" s="1" t="s">
        <v>141</v>
      </c>
      <c r="I68" s="1" t="s">
        <v>94</v>
      </c>
      <c r="J68" s="1" t="s">
        <v>48</v>
      </c>
      <c r="K68" s="1" t="s">
        <v>142</v>
      </c>
      <c r="L68" s="1" t="s">
        <v>123</v>
      </c>
      <c r="M68" s="1" t="s">
        <v>142</v>
      </c>
      <c r="N68" s="1" t="s">
        <v>126</v>
      </c>
      <c r="O68" s="1" t="s">
        <v>128</v>
      </c>
      <c r="P68" s="1" t="s">
        <v>130</v>
      </c>
      <c r="Q68" s="1" t="s">
        <v>86</v>
      </c>
      <c r="R68" s="1" t="s">
        <v>50</v>
      </c>
      <c r="S68" s="1" t="s">
        <v>656</v>
      </c>
      <c r="T68" s="1" t="s">
        <v>34</v>
      </c>
      <c r="U68" s="1" t="s">
        <v>44</v>
      </c>
      <c r="V68" s="1" t="s">
        <v>34</v>
      </c>
    </row>
    <row r="69" spans="1:22" x14ac:dyDescent="0.25">
      <c r="A69" s="1" t="s">
        <v>29</v>
      </c>
      <c r="B69" s="1" t="s">
        <v>323</v>
      </c>
      <c r="C69" s="1" t="s">
        <v>104</v>
      </c>
      <c r="D69" s="1" t="s">
        <v>111</v>
      </c>
      <c r="E69" s="1" t="s">
        <v>324</v>
      </c>
      <c r="F69" s="1" t="s">
        <v>325</v>
      </c>
      <c r="G69" s="1" t="s">
        <v>29</v>
      </c>
      <c r="H69" s="1" t="s">
        <v>141</v>
      </c>
      <c r="I69" s="1" t="s">
        <v>94</v>
      </c>
      <c r="J69" s="1" t="s">
        <v>48</v>
      </c>
      <c r="K69" s="1" t="s">
        <v>142</v>
      </c>
      <c r="L69" s="1" t="s">
        <v>123</v>
      </c>
      <c r="M69" s="1" t="s">
        <v>142</v>
      </c>
      <c r="N69" s="1" t="s">
        <v>126</v>
      </c>
      <c r="O69" s="1" t="s">
        <v>128</v>
      </c>
      <c r="P69" s="1" t="s">
        <v>130</v>
      </c>
      <c r="Q69" s="1" t="s">
        <v>86</v>
      </c>
      <c r="R69" s="1" t="s">
        <v>50</v>
      </c>
      <c r="S69" s="1" t="s">
        <v>656</v>
      </c>
      <c r="T69" s="1" t="s">
        <v>34</v>
      </c>
      <c r="U69" s="1" t="s">
        <v>44</v>
      </c>
      <c r="V69" s="1" t="s">
        <v>34</v>
      </c>
    </row>
    <row r="70" spans="1:22" x14ac:dyDescent="0.25">
      <c r="A70" s="1" t="s">
        <v>29</v>
      </c>
      <c r="B70" s="1" t="s">
        <v>326</v>
      </c>
      <c r="C70" s="1" t="s">
        <v>104</v>
      </c>
      <c r="D70" s="1" t="s">
        <v>111</v>
      </c>
      <c r="E70" s="1" t="s">
        <v>327</v>
      </c>
      <c r="F70" s="1" t="s">
        <v>328</v>
      </c>
      <c r="G70" s="1" t="s">
        <v>29</v>
      </c>
      <c r="H70" s="1" t="s">
        <v>141</v>
      </c>
      <c r="I70" s="1" t="s">
        <v>94</v>
      </c>
      <c r="J70" s="1" t="s">
        <v>48</v>
      </c>
      <c r="K70" s="1" t="s">
        <v>142</v>
      </c>
      <c r="L70" s="1" t="s">
        <v>123</v>
      </c>
      <c r="M70" s="1" t="s">
        <v>142</v>
      </c>
      <c r="N70" s="1" t="s">
        <v>126</v>
      </c>
      <c r="O70" s="1" t="s">
        <v>128</v>
      </c>
      <c r="P70" s="1" t="s">
        <v>130</v>
      </c>
      <c r="Q70" s="1" t="s">
        <v>86</v>
      </c>
      <c r="R70" s="1" t="s">
        <v>50</v>
      </c>
      <c r="S70" s="1" t="s">
        <v>656</v>
      </c>
      <c r="T70" s="1" t="s">
        <v>34</v>
      </c>
      <c r="U70" s="1" t="s">
        <v>44</v>
      </c>
      <c r="V70" s="1" t="s">
        <v>34</v>
      </c>
    </row>
    <row r="71" spans="1:22" x14ac:dyDescent="0.25">
      <c r="A71" s="1" t="s">
        <v>29</v>
      </c>
      <c r="B71" s="1" t="s">
        <v>329</v>
      </c>
      <c r="C71" s="1" t="s">
        <v>104</v>
      </c>
      <c r="D71" s="1" t="s">
        <v>111</v>
      </c>
      <c r="E71" s="1" t="s">
        <v>330</v>
      </c>
      <c r="F71" s="1" t="s">
        <v>331</v>
      </c>
      <c r="G71" s="1" t="s">
        <v>29</v>
      </c>
      <c r="H71" s="1" t="s">
        <v>141</v>
      </c>
      <c r="I71" s="1" t="s">
        <v>94</v>
      </c>
      <c r="J71" s="1" t="s">
        <v>48</v>
      </c>
      <c r="K71" s="1" t="s">
        <v>142</v>
      </c>
      <c r="L71" s="1" t="s">
        <v>123</v>
      </c>
      <c r="M71" s="1" t="s">
        <v>142</v>
      </c>
      <c r="N71" s="1" t="s">
        <v>126</v>
      </c>
      <c r="O71" s="1" t="s">
        <v>128</v>
      </c>
      <c r="P71" s="1" t="s">
        <v>130</v>
      </c>
      <c r="Q71" s="1" t="s">
        <v>86</v>
      </c>
      <c r="R71" s="1" t="s">
        <v>50</v>
      </c>
      <c r="S71" s="1" t="s">
        <v>656</v>
      </c>
      <c r="T71" s="1" t="s">
        <v>34</v>
      </c>
      <c r="U71" s="1" t="s">
        <v>44</v>
      </c>
      <c r="V71" s="1" t="s">
        <v>34</v>
      </c>
    </row>
    <row r="72" spans="1:22" x14ac:dyDescent="0.25">
      <c r="A72" s="1" t="s">
        <v>29</v>
      </c>
      <c r="B72" s="1" t="s">
        <v>332</v>
      </c>
      <c r="C72" s="1" t="s">
        <v>104</v>
      </c>
      <c r="D72" s="1" t="s">
        <v>111</v>
      </c>
      <c r="E72" s="1" t="s">
        <v>333</v>
      </c>
      <c r="F72" s="1" t="s">
        <v>334</v>
      </c>
      <c r="G72" s="1" t="s">
        <v>29</v>
      </c>
      <c r="H72" s="1" t="s">
        <v>141</v>
      </c>
      <c r="I72" s="1" t="s">
        <v>94</v>
      </c>
      <c r="J72" s="1" t="s">
        <v>48</v>
      </c>
      <c r="K72" s="1" t="s">
        <v>142</v>
      </c>
      <c r="L72" s="1" t="s">
        <v>123</v>
      </c>
      <c r="M72" s="1" t="s">
        <v>142</v>
      </c>
      <c r="N72" s="1" t="s">
        <v>126</v>
      </c>
      <c r="O72" s="1" t="s">
        <v>128</v>
      </c>
      <c r="P72" s="1" t="s">
        <v>130</v>
      </c>
      <c r="Q72" s="1" t="s">
        <v>86</v>
      </c>
      <c r="R72" s="1" t="s">
        <v>50</v>
      </c>
      <c r="S72" s="1" t="s">
        <v>656</v>
      </c>
      <c r="T72" s="1" t="s">
        <v>34</v>
      </c>
      <c r="U72" s="1" t="s">
        <v>44</v>
      </c>
      <c r="V72" s="1" t="s">
        <v>34</v>
      </c>
    </row>
    <row r="73" spans="1:22" x14ac:dyDescent="0.25">
      <c r="A73" s="1" t="s">
        <v>29</v>
      </c>
      <c r="B73" s="1" t="s">
        <v>335</v>
      </c>
      <c r="C73" s="1" t="s">
        <v>104</v>
      </c>
      <c r="D73" s="1" t="s">
        <v>111</v>
      </c>
      <c r="E73" s="1" t="s">
        <v>336</v>
      </c>
      <c r="F73" s="1" t="s">
        <v>337</v>
      </c>
      <c r="G73" s="1" t="s">
        <v>29</v>
      </c>
      <c r="H73" s="1" t="s">
        <v>141</v>
      </c>
      <c r="I73" s="1" t="s">
        <v>94</v>
      </c>
      <c r="J73" s="1" t="s">
        <v>48</v>
      </c>
      <c r="K73" s="1" t="s">
        <v>142</v>
      </c>
      <c r="L73" s="1" t="s">
        <v>123</v>
      </c>
      <c r="M73" s="1" t="s">
        <v>142</v>
      </c>
      <c r="N73" s="1" t="s">
        <v>126</v>
      </c>
      <c r="O73" s="1" t="s">
        <v>128</v>
      </c>
      <c r="P73" s="1" t="s">
        <v>130</v>
      </c>
      <c r="Q73" s="1" t="s">
        <v>86</v>
      </c>
      <c r="R73" s="1" t="s">
        <v>50</v>
      </c>
      <c r="S73" s="1" t="s">
        <v>656</v>
      </c>
      <c r="T73" s="1" t="s">
        <v>34</v>
      </c>
      <c r="U73" s="1" t="s">
        <v>44</v>
      </c>
      <c r="V73" s="1" t="s">
        <v>34</v>
      </c>
    </row>
    <row r="74" spans="1:22" x14ac:dyDescent="0.25">
      <c r="A74" s="1" t="s">
        <v>29</v>
      </c>
      <c r="B74" s="1" t="s">
        <v>338</v>
      </c>
      <c r="C74" s="1" t="s">
        <v>104</v>
      </c>
      <c r="D74" s="1" t="s">
        <v>111</v>
      </c>
      <c r="E74" s="1" t="s">
        <v>339</v>
      </c>
      <c r="F74" s="1" t="s">
        <v>340</v>
      </c>
      <c r="G74" s="1" t="s">
        <v>29</v>
      </c>
      <c r="H74" s="1" t="s">
        <v>141</v>
      </c>
      <c r="I74" s="1" t="s">
        <v>94</v>
      </c>
      <c r="J74" s="1" t="s">
        <v>48</v>
      </c>
      <c r="K74" s="1" t="s">
        <v>142</v>
      </c>
      <c r="L74" s="1" t="s">
        <v>123</v>
      </c>
      <c r="M74" s="1" t="s">
        <v>142</v>
      </c>
      <c r="N74" s="1" t="s">
        <v>126</v>
      </c>
      <c r="O74" s="1" t="s">
        <v>128</v>
      </c>
      <c r="P74" s="1" t="s">
        <v>130</v>
      </c>
      <c r="Q74" s="1" t="s">
        <v>86</v>
      </c>
      <c r="R74" s="1" t="s">
        <v>50</v>
      </c>
      <c r="S74" s="1" t="s">
        <v>656</v>
      </c>
      <c r="T74" s="1" t="s">
        <v>34</v>
      </c>
      <c r="U74" s="1" t="s">
        <v>44</v>
      </c>
      <c r="V74" s="1" t="s">
        <v>34</v>
      </c>
    </row>
    <row r="75" spans="1:22" x14ac:dyDescent="0.25">
      <c r="A75" s="1" t="s">
        <v>29</v>
      </c>
      <c r="B75" s="1" t="s">
        <v>341</v>
      </c>
      <c r="C75" s="1" t="s">
        <v>104</v>
      </c>
      <c r="D75" s="1" t="s">
        <v>111</v>
      </c>
      <c r="E75" s="1" t="s">
        <v>342</v>
      </c>
      <c r="F75" s="1" t="s">
        <v>343</v>
      </c>
      <c r="G75" s="1" t="s">
        <v>29</v>
      </c>
      <c r="H75" s="1" t="s">
        <v>141</v>
      </c>
      <c r="I75" s="1" t="s">
        <v>94</v>
      </c>
      <c r="J75" s="1" t="s">
        <v>48</v>
      </c>
      <c r="K75" s="1" t="s">
        <v>142</v>
      </c>
      <c r="L75" s="1" t="s">
        <v>123</v>
      </c>
      <c r="M75" s="1" t="s">
        <v>142</v>
      </c>
      <c r="N75" s="1" t="s">
        <v>126</v>
      </c>
      <c r="O75" s="1" t="s">
        <v>128</v>
      </c>
      <c r="P75" s="1" t="s">
        <v>130</v>
      </c>
      <c r="Q75" s="1" t="s">
        <v>86</v>
      </c>
      <c r="R75" s="1" t="s">
        <v>50</v>
      </c>
      <c r="S75" s="1" t="s">
        <v>656</v>
      </c>
      <c r="T75" s="1" t="s">
        <v>34</v>
      </c>
      <c r="U75" s="1" t="s">
        <v>44</v>
      </c>
      <c r="V75" s="1" t="s">
        <v>34</v>
      </c>
    </row>
    <row r="76" spans="1:22" x14ac:dyDescent="0.25">
      <c r="A76" s="1" t="s">
        <v>29</v>
      </c>
      <c r="B76" s="1" t="s">
        <v>344</v>
      </c>
      <c r="C76" s="1" t="s">
        <v>104</v>
      </c>
      <c r="D76" s="1" t="s">
        <v>111</v>
      </c>
      <c r="E76" s="1" t="s">
        <v>345</v>
      </c>
      <c r="F76" s="1" t="s">
        <v>346</v>
      </c>
      <c r="G76" s="1" t="s">
        <v>29</v>
      </c>
      <c r="H76" s="1" t="s">
        <v>141</v>
      </c>
      <c r="I76" s="1" t="s">
        <v>94</v>
      </c>
      <c r="J76" s="1" t="s">
        <v>48</v>
      </c>
      <c r="K76" s="1" t="s">
        <v>142</v>
      </c>
      <c r="L76" s="1" t="s">
        <v>123</v>
      </c>
      <c r="M76" s="1" t="s">
        <v>142</v>
      </c>
      <c r="N76" s="1" t="s">
        <v>126</v>
      </c>
      <c r="O76" s="1" t="s">
        <v>128</v>
      </c>
      <c r="P76" s="1" t="s">
        <v>130</v>
      </c>
      <c r="Q76" s="1" t="s">
        <v>86</v>
      </c>
      <c r="R76" s="1" t="s">
        <v>50</v>
      </c>
      <c r="S76" s="1" t="s">
        <v>656</v>
      </c>
      <c r="T76" s="1" t="s">
        <v>34</v>
      </c>
      <c r="U76" s="1" t="s">
        <v>44</v>
      </c>
      <c r="V76" s="1" t="s">
        <v>34</v>
      </c>
    </row>
    <row r="77" spans="1:22" x14ac:dyDescent="0.25">
      <c r="A77" s="1" t="s">
        <v>29</v>
      </c>
      <c r="B77" s="1" t="s">
        <v>347</v>
      </c>
      <c r="C77" s="1" t="s">
        <v>104</v>
      </c>
      <c r="D77" s="1" t="s">
        <v>111</v>
      </c>
      <c r="E77" s="1" t="s">
        <v>348</v>
      </c>
      <c r="F77" s="1" t="s">
        <v>349</v>
      </c>
      <c r="G77" s="1" t="s">
        <v>29</v>
      </c>
      <c r="H77" s="1" t="s">
        <v>141</v>
      </c>
      <c r="I77" s="1" t="s">
        <v>94</v>
      </c>
      <c r="J77" s="1" t="s">
        <v>48</v>
      </c>
      <c r="K77" s="1" t="s">
        <v>142</v>
      </c>
      <c r="L77" s="1" t="s">
        <v>123</v>
      </c>
      <c r="M77" s="1" t="s">
        <v>142</v>
      </c>
      <c r="N77" s="1" t="s">
        <v>126</v>
      </c>
      <c r="O77" s="1" t="s">
        <v>128</v>
      </c>
      <c r="P77" s="1" t="s">
        <v>130</v>
      </c>
      <c r="Q77" s="1" t="s">
        <v>86</v>
      </c>
      <c r="R77" s="1" t="s">
        <v>50</v>
      </c>
      <c r="S77" s="1" t="s">
        <v>656</v>
      </c>
      <c r="T77" s="1" t="s">
        <v>34</v>
      </c>
      <c r="U77" s="1" t="s">
        <v>44</v>
      </c>
      <c r="V77" s="1" t="s">
        <v>34</v>
      </c>
    </row>
    <row r="78" spans="1:22" x14ac:dyDescent="0.25">
      <c r="A78" s="1" t="s">
        <v>29</v>
      </c>
      <c r="B78" s="1" t="s">
        <v>350</v>
      </c>
      <c r="C78" s="1" t="s">
        <v>104</v>
      </c>
      <c r="D78" s="1" t="s">
        <v>111</v>
      </c>
      <c r="E78" s="1" t="s">
        <v>351</v>
      </c>
      <c r="F78" s="1" t="s">
        <v>352</v>
      </c>
      <c r="G78" s="1" t="s">
        <v>29</v>
      </c>
      <c r="H78" s="1" t="s">
        <v>141</v>
      </c>
      <c r="I78" s="1" t="s">
        <v>94</v>
      </c>
      <c r="J78" s="1" t="s">
        <v>48</v>
      </c>
      <c r="K78" s="1" t="s">
        <v>142</v>
      </c>
      <c r="L78" s="1" t="s">
        <v>123</v>
      </c>
      <c r="M78" s="1" t="s">
        <v>142</v>
      </c>
      <c r="N78" s="1" t="s">
        <v>126</v>
      </c>
      <c r="O78" s="1" t="s">
        <v>128</v>
      </c>
      <c r="P78" s="1" t="s">
        <v>130</v>
      </c>
      <c r="Q78" s="1" t="s">
        <v>86</v>
      </c>
      <c r="R78" s="1" t="s">
        <v>50</v>
      </c>
      <c r="S78" s="1" t="s">
        <v>656</v>
      </c>
      <c r="T78" s="1" t="s">
        <v>34</v>
      </c>
      <c r="U78" s="1" t="s">
        <v>44</v>
      </c>
      <c r="V78" s="1" t="s">
        <v>34</v>
      </c>
    </row>
    <row r="79" spans="1:22" x14ac:dyDescent="0.25">
      <c r="A79" s="1" t="s">
        <v>29</v>
      </c>
      <c r="B79" s="1" t="s">
        <v>353</v>
      </c>
      <c r="C79" s="1" t="s">
        <v>104</v>
      </c>
      <c r="D79" s="1" t="s">
        <v>111</v>
      </c>
      <c r="E79" s="1" t="s">
        <v>354</v>
      </c>
      <c r="F79" s="1" t="s">
        <v>355</v>
      </c>
      <c r="G79" s="1" t="s">
        <v>29</v>
      </c>
      <c r="H79" s="1" t="s">
        <v>141</v>
      </c>
      <c r="I79" s="1" t="s">
        <v>94</v>
      </c>
      <c r="J79" s="1" t="s">
        <v>48</v>
      </c>
      <c r="K79" s="1" t="s">
        <v>142</v>
      </c>
      <c r="L79" s="1" t="s">
        <v>123</v>
      </c>
      <c r="M79" s="1" t="s">
        <v>142</v>
      </c>
      <c r="N79" s="1" t="s">
        <v>126</v>
      </c>
      <c r="O79" s="1" t="s">
        <v>128</v>
      </c>
      <c r="P79" s="1" t="s">
        <v>130</v>
      </c>
      <c r="Q79" s="1" t="s">
        <v>86</v>
      </c>
      <c r="R79" s="1" t="s">
        <v>50</v>
      </c>
      <c r="S79" s="1" t="s">
        <v>656</v>
      </c>
      <c r="T79" s="1" t="s">
        <v>34</v>
      </c>
      <c r="U79" s="1" t="s">
        <v>44</v>
      </c>
      <c r="V79" s="1" t="s">
        <v>34</v>
      </c>
    </row>
    <row r="80" spans="1:22" x14ac:dyDescent="0.25">
      <c r="A80" s="1" t="s">
        <v>29</v>
      </c>
      <c r="B80" s="1" t="s">
        <v>356</v>
      </c>
      <c r="C80" s="1" t="s">
        <v>104</v>
      </c>
      <c r="D80" s="1" t="s">
        <v>111</v>
      </c>
      <c r="E80" s="1" t="s">
        <v>357</v>
      </c>
      <c r="F80" s="1" t="s">
        <v>358</v>
      </c>
      <c r="G80" s="1" t="s">
        <v>29</v>
      </c>
      <c r="H80" s="1" t="s">
        <v>141</v>
      </c>
      <c r="I80" s="1" t="s">
        <v>94</v>
      </c>
      <c r="J80" s="1" t="s">
        <v>48</v>
      </c>
      <c r="K80" s="1" t="s">
        <v>142</v>
      </c>
      <c r="L80" s="1" t="s">
        <v>123</v>
      </c>
      <c r="M80" s="1" t="s">
        <v>142</v>
      </c>
      <c r="N80" s="1" t="s">
        <v>126</v>
      </c>
      <c r="O80" s="1" t="s">
        <v>128</v>
      </c>
      <c r="P80" s="1" t="s">
        <v>130</v>
      </c>
      <c r="Q80" s="1" t="s">
        <v>86</v>
      </c>
      <c r="R80" s="1" t="s">
        <v>50</v>
      </c>
      <c r="S80" s="1" t="s">
        <v>656</v>
      </c>
      <c r="T80" s="1" t="s">
        <v>34</v>
      </c>
      <c r="U80" s="1" t="s">
        <v>44</v>
      </c>
      <c r="V80" s="1" t="s">
        <v>34</v>
      </c>
    </row>
    <row r="81" spans="1:22" x14ac:dyDescent="0.25">
      <c r="A81" s="1" t="s">
        <v>29</v>
      </c>
      <c r="B81" s="1" t="s">
        <v>359</v>
      </c>
      <c r="C81" s="1" t="s">
        <v>104</v>
      </c>
      <c r="D81" s="1" t="s">
        <v>111</v>
      </c>
      <c r="E81" s="1" t="s">
        <v>360</v>
      </c>
      <c r="F81" s="1" t="s">
        <v>361</v>
      </c>
      <c r="G81" s="1" t="s">
        <v>29</v>
      </c>
      <c r="H81" s="1" t="s">
        <v>141</v>
      </c>
      <c r="I81" s="1" t="s">
        <v>94</v>
      </c>
      <c r="J81" s="1" t="s">
        <v>48</v>
      </c>
      <c r="K81" s="1" t="s">
        <v>142</v>
      </c>
      <c r="L81" s="1" t="s">
        <v>123</v>
      </c>
      <c r="M81" s="1" t="s">
        <v>142</v>
      </c>
      <c r="N81" s="1" t="s">
        <v>126</v>
      </c>
      <c r="O81" s="1" t="s">
        <v>128</v>
      </c>
      <c r="P81" s="1" t="s">
        <v>130</v>
      </c>
      <c r="Q81" s="1" t="s">
        <v>86</v>
      </c>
      <c r="R81" s="1" t="s">
        <v>50</v>
      </c>
      <c r="S81" s="1" t="s">
        <v>656</v>
      </c>
      <c r="T81" s="1" t="s">
        <v>34</v>
      </c>
      <c r="U81" s="1" t="s">
        <v>44</v>
      </c>
      <c r="V81" s="1" t="s">
        <v>34</v>
      </c>
    </row>
    <row r="82" spans="1:22" x14ac:dyDescent="0.25">
      <c r="A82" s="1" t="s">
        <v>29</v>
      </c>
      <c r="B82" s="1" t="s">
        <v>362</v>
      </c>
      <c r="C82" s="1" t="s">
        <v>104</v>
      </c>
      <c r="D82" s="1" t="s">
        <v>111</v>
      </c>
      <c r="E82" s="1" t="s">
        <v>363</v>
      </c>
      <c r="F82" s="1" t="s">
        <v>364</v>
      </c>
      <c r="G82" s="1" t="s">
        <v>29</v>
      </c>
      <c r="H82" s="1" t="s">
        <v>141</v>
      </c>
      <c r="I82" s="1" t="s">
        <v>94</v>
      </c>
      <c r="J82" s="1" t="s">
        <v>48</v>
      </c>
      <c r="K82" s="1" t="s">
        <v>142</v>
      </c>
      <c r="L82" s="1" t="s">
        <v>123</v>
      </c>
      <c r="M82" s="1" t="s">
        <v>142</v>
      </c>
      <c r="N82" s="1" t="s">
        <v>126</v>
      </c>
      <c r="O82" s="1" t="s">
        <v>128</v>
      </c>
      <c r="P82" s="1" t="s">
        <v>130</v>
      </c>
      <c r="Q82" s="1" t="s">
        <v>86</v>
      </c>
      <c r="R82" s="1" t="s">
        <v>50</v>
      </c>
      <c r="S82" s="1" t="s">
        <v>656</v>
      </c>
      <c r="T82" s="1" t="s">
        <v>34</v>
      </c>
      <c r="U82" s="1" t="s">
        <v>44</v>
      </c>
      <c r="V82" s="1" t="s">
        <v>34</v>
      </c>
    </row>
    <row r="83" spans="1:22" x14ac:dyDescent="0.25">
      <c r="A83" s="1" t="s">
        <v>29</v>
      </c>
      <c r="B83" s="1" t="s">
        <v>365</v>
      </c>
      <c r="C83" s="1" t="s">
        <v>104</v>
      </c>
      <c r="D83" s="1" t="s">
        <v>111</v>
      </c>
      <c r="E83" s="1" t="s">
        <v>366</v>
      </c>
      <c r="F83" s="1" t="s">
        <v>367</v>
      </c>
      <c r="G83" s="1" t="s">
        <v>29</v>
      </c>
      <c r="H83" s="1" t="s">
        <v>141</v>
      </c>
      <c r="I83" s="1" t="s">
        <v>94</v>
      </c>
      <c r="J83" s="1" t="s">
        <v>48</v>
      </c>
      <c r="K83" s="1" t="s">
        <v>142</v>
      </c>
      <c r="L83" s="1" t="s">
        <v>123</v>
      </c>
      <c r="M83" s="1" t="s">
        <v>142</v>
      </c>
      <c r="N83" s="1" t="s">
        <v>126</v>
      </c>
      <c r="O83" s="1" t="s">
        <v>128</v>
      </c>
      <c r="P83" s="1" t="s">
        <v>130</v>
      </c>
      <c r="Q83" s="1" t="s">
        <v>86</v>
      </c>
      <c r="R83" s="1" t="s">
        <v>50</v>
      </c>
      <c r="S83" s="1" t="s">
        <v>656</v>
      </c>
      <c r="T83" s="1" t="s">
        <v>34</v>
      </c>
      <c r="U83" s="1" t="s">
        <v>44</v>
      </c>
      <c r="V83" s="1" t="s">
        <v>34</v>
      </c>
    </row>
    <row r="84" spans="1:22" x14ac:dyDescent="0.25">
      <c r="A84" s="1" t="s">
        <v>29</v>
      </c>
      <c r="B84" s="1" t="s">
        <v>368</v>
      </c>
      <c r="C84" s="1" t="s">
        <v>104</v>
      </c>
      <c r="D84" s="1" t="s">
        <v>111</v>
      </c>
      <c r="E84" s="1" t="s">
        <v>369</v>
      </c>
      <c r="F84" s="1" t="s">
        <v>370</v>
      </c>
      <c r="G84" s="1" t="s">
        <v>29</v>
      </c>
      <c r="H84" s="1" t="s">
        <v>141</v>
      </c>
      <c r="I84" s="1" t="s">
        <v>94</v>
      </c>
      <c r="J84" s="1" t="s">
        <v>48</v>
      </c>
      <c r="K84" s="1" t="s">
        <v>142</v>
      </c>
      <c r="L84" s="1" t="s">
        <v>123</v>
      </c>
      <c r="M84" s="1" t="s">
        <v>142</v>
      </c>
      <c r="N84" s="1" t="s">
        <v>126</v>
      </c>
      <c r="O84" s="1" t="s">
        <v>128</v>
      </c>
      <c r="P84" s="1" t="s">
        <v>130</v>
      </c>
      <c r="Q84" s="1" t="s">
        <v>86</v>
      </c>
      <c r="R84" s="1" t="s">
        <v>50</v>
      </c>
      <c r="S84" s="1" t="s">
        <v>656</v>
      </c>
      <c r="T84" s="1" t="s">
        <v>34</v>
      </c>
      <c r="U84" s="1" t="s">
        <v>44</v>
      </c>
      <c r="V84" s="1" t="s">
        <v>34</v>
      </c>
    </row>
    <row r="85" spans="1:22" x14ac:dyDescent="0.25">
      <c r="A85" s="1" t="s">
        <v>29</v>
      </c>
      <c r="B85" s="1" t="s">
        <v>371</v>
      </c>
      <c r="C85" s="1" t="s">
        <v>104</v>
      </c>
      <c r="D85" s="1" t="s">
        <v>111</v>
      </c>
      <c r="E85" s="1" t="s">
        <v>372</v>
      </c>
      <c r="F85" s="1" t="s">
        <v>373</v>
      </c>
      <c r="G85" s="1" t="s">
        <v>29</v>
      </c>
      <c r="H85" s="1" t="s">
        <v>141</v>
      </c>
      <c r="I85" s="1" t="s">
        <v>94</v>
      </c>
      <c r="J85" s="1" t="s">
        <v>48</v>
      </c>
      <c r="K85" s="1" t="s">
        <v>142</v>
      </c>
      <c r="L85" s="1" t="s">
        <v>123</v>
      </c>
      <c r="M85" s="1" t="s">
        <v>142</v>
      </c>
      <c r="N85" s="1" t="s">
        <v>126</v>
      </c>
      <c r="O85" s="1" t="s">
        <v>128</v>
      </c>
      <c r="P85" s="1" t="s">
        <v>130</v>
      </c>
      <c r="Q85" s="1" t="s">
        <v>86</v>
      </c>
      <c r="R85" s="1" t="s">
        <v>50</v>
      </c>
      <c r="S85" s="1" t="s">
        <v>656</v>
      </c>
      <c r="T85" s="1" t="s">
        <v>34</v>
      </c>
      <c r="U85" s="1" t="s">
        <v>44</v>
      </c>
      <c r="V85" s="1" t="s">
        <v>34</v>
      </c>
    </row>
    <row r="86" spans="1:22" x14ac:dyDescent="0.25">
      <c r="A86" s="1" t="s">
        <v>29</v>
      </c>
      <c r="B86" s="1" t="s">
        <v>374</v>
      </c>
      <c r="C86" s="1" t="s">
        <v>104</v>
      </c>
      <c r="D86" s="1" t="s">
        <v>111</v>
      </c>
      <c r="E86" s="1" t="s">
        <v>375</v>
      </c>
      <c r="F86" s="1" t="s">
        <v>376</v>
      </c>
      <c r="G86" s="1" t="s">
        <v>29</v>
      </c>
      <c r="H86" s="1" t="s">
        <v>141</v>
      </c>
      <c r="I86" s="1" t="s">
        <v>94</v>
      </c>
      <c r="J86" s="1" t="s">
        <v>48</v>
      </c>
      <c r="K86" s="1" t="s">
        <v>142</v>
      </c>
      <c r="L86" s="1" t="s">
        <v>123</v>
      </c>
      <c r="M86" s="1" t="s">
        <v>142</v>
      </c>
      <c r="N86" s="1" t="s">
        <v>126</v>
      </c>
      <c r="O86" s="1" t="s">
        <v>128</v>
      </c>
      <c r="P86" s="1" t="s">
        <v>130</v>
      </c>
      <c r="Q86" s="1" t="s">
        <v>86</v>
      </c>
      <c r="R86" s="1" t="s">
        <v>50</v>
      </c>
      <c r="S86" s="1" t="s">
        <v>656</v>
      </c>
      <c r="T86" s="1" t="s">
        <v>34</v>
      </c>
      <c r="U86" s="1" t="s">
        <v>44</v>
      </c>
      <c r="V86" s="1" t="s">
        <v>34</v>
      </c>
    </row>
    <row r="87" spans="1:22" x14ac:dyDescent="0.25">
      <c r="A87" s="1" t="s">
        <v>29</v>
      </c>
      <c r="B87" s="1" t="s">
        <v>377</v>
      </c>
      <c r="C87" s="1" t="s">
        <v>104</v>
      </c>
      <c r="D87" s="1" t="s">
        <v>111</v>
      </c>
      <c r="E87" s="1" t="s">
        <v>378</v>
      </c>
      <c r="F87" s="1" t="s">
        <v>379</v>
      </c>
      <c r="G87" s="1" t="s">
        <v>29</v>
      </c>
      <c r="H87" s="1" t="s">
        <v>141</v>
      </c>
      <c r="I87" s="1" t="s">
        <v>94</v>
      </c>
      <c r="J87" s="1" t="s">
        <v>48</v>
      </c>
      <c r="K87" s="1" t="s">
        <v>142</v>
      </c>
      <c r="L87" s="1" t="s">
        <v>123</v>
      </c>
      <c r="M87" s="1" t="s">
        <v>142</v>
      </c>
      <c r="N87" s="1" t="s">
        <v>126</v>
      </c>
      <c r="O87" s="1" t="s">
        <v>128</v>
      </c>
      <c r="P87" s="1" t="s">
        <v>130</v>
      </c>
      <c r="Q87" s="1" t="s">
        <v>86</v>
      </c>
      <c r="R87" s="1" t="s">
        <v>50</v>
      </c>
      <c r="S87" s="1" t="s">
        <v>656</v>
      </c>
      <c r="T87" s="1" t="s">
        <v>34</v>
      </c>
      <c r="U87" s="1" t="s">
        <v>44</v>
      </c>
      <c r="V87" s="1" t="s">
        <v>34</v>
      </c>
    </row>
    <row r="88" spans="1:22" x14ac:dyDescent="0.25">
      <c r="A88" s="1" t="s">
        <v>29</v>
      </c>
      <c r="B88" s="1" t="s">
        <v>380</v>
      </c>
      <c r="C88" s="1" t="s">
        <v>104</v>
      </c>
      <c r="D88" s="1" t="s">
        <v>105</v>
      </c>
      <c r="E88" s="1" t="s">
        <v>139</v>
      </c>
      <c r="F88" s="1" t="s">
        <v>381</v>
      </c>
      <c r="G88" s="1" t="s">
        <v>29</v>
      </c>
      <c r="H88" s="1" t="s">
        <v>141</v>
      </c>
      <c r="I88" s="1" t="s">
        <v>95</v>
      </c>
      <c r="J88" s="1" t="s">
        <v>48</v>
      </c>
      <c r="K88" s="1" t="s">
        <v>142</v>
      </c>
      <c r="L88" s="1" t="s">
        <v>123</v>
      </c>
      <c r="M88" s="1" t="s">
        <v>142</v>
      </c>
      <c r="N88" s="1" t="s">
        <v>126</v>
      </c>
      <c r="O88" s="1" t="s">
        <v>128</v>
      </c>
      <c r="P88" s="1" t="s">
        <v>130</v>
      </c>
      <c r="Q88" s="1" t="s">
        <v>86</v>
      </c>
      <c r="R88" s="1" t="s">
        <v>50</v>
      </c>
      <c r="S88" s="1" t="s">
        <v>656</v>
      </c>
      <c r="T88" s="1" t="s">
        <v>34</v>
      </c>
      <c r="U88" s="1" t="s">
        <v>44</v>
      </c>
      <c r="V88" s="1" t="s">
        <v>34</v>
      </c>
    </row>
    <row r="89" spans="1:22" x14ac:dyDescent="0.25">
      <c r="A89" s="1" t="s">
        <v>29</v>
      </c>
      <c r="B89" s="1" t="s">
        <v>382</v>
      </c>
      <c r="C89" s="1" t="s">
        <v>104</v>
      </c>
      <c r="D89" s="1" t="s">
        <v>105</v>
      </c>
      <c r="E89" s="1" t="s">
        <v>144</v>
      </c>
      <c r="F89" s="1" t="s">
        <v>383</v>
      </c>
      <c r="G89" s="1" t="s">
        <v>29</v>
      </c>
      <c r="H89" s="1" t="s">
        <v>141</v>
      </c>
      <c r="I89" s="1" t="s">
        <v>95</v>
      </c>
      <c r="J89" s="1" t="s">
        <v>48</v>
      </c>
      <c r="K89" s="1" t="s">
        <v>142</v>
      </c>
      <c r="L89" s="1" t="s">
        <v>123</v>
      </c>
      <c r="M89" s="1" t="s">
        <v>142</v>
      </c>
      <c r="N89" s="1" t="s">
        <v>126</v>
      </c>
      <c r="O89" s="1" t="s">
        <v>128</v>
      </c>
      <c r="P89" s="1" t="s">
        <v>130</v>
      </c>
      <c r="Q89" s="1" t="s">
        <v>86</v>
      </c>
      <c r="R89" s="1" t="s">
        <v>50</v>
      </c>
      <c r="S89" s="1" t="s">
        <v>656</v>
      </c>
      <c r="T89" s="1" t="s">
        <v>34</v>
      </c>
      <c r="U89" s="1" t="s">
        <v>44</v>
      </c>
      <c r="V89" s="1" t="s">
        <v>34</v>
      </c>
    </row>
    <row r="90" spans="1:22" x14ac:dyDescent="0.25">
      <c r="A90" s="1" t="s">
        <v>29</v>
      </c>
      <c r="B90" s="1" t="s">
        <v>384</v>
      </c>
      <c r="C90" s="1" t="s">
        <v>104</v>
      </c>
      <c r="D90" s="1" t="s">
        <v>105</v>
      </c>
      <c r="E90" s="1" t="s">
        <v>147</v>
      </c>
      <c r="F90" s="1" t="s">
        <v>385</v>
      </c>
      <c r="G90" s="1" t="s">
        <v>29</v>
      </c>
      <c r="H90" s="1" t="s">
        <v>141</v>
      </c>
      <c r="I90" s="1" t="s">
        <v>95</v>
      </c>
      <c r="J90" s="1" t="s">
        <v>48</v>
      </c>
      <c r="K90" s="1" t="s">
        <v>142</v>
      </c>
      <c r="L90" s="1" t="s">
        <v>123</v>
      </c>
      <c r="M90" s="1" t="s">
        <v>142</v>
      </c>
      <c r="N90" s="1" t="s">
        <v>126</v>
      </c>
      <c r="O90" s="1" t="s">
        <v>128</v>
      </c>
      <c r="P90" s="1" t="s">
        <v>130</v>
      </c>
      <c r="Q90" s="1" t="s">
        <v>86</v>
      </c>
      <c r="R90" s="1" t="s">
        <v>50</v>
      </c>
      <c r="S90" s="1" t="s">
        <v>656</v>
      </c>
      <c r="T90" s="1" t="s">
        <v>34</v>
      </c>
      <c r="U90" s="1" t="s">
        <v>44</v>
      </c>
      <c r="V90" s="1" t="s">
        <v>34</v>
      </c>
    </row>
    <row r="91" spans="1:22" x14ac:dyDescent="0.25">
      <c r="A91" s="1" t="s">
        <v>29</v>
      </c>
      <c r="B91" s="1" t="s">
        <v>386</v>
      </c>
      <c r="C91" s="1" t="s">
        <v>104</v>
      </c>
      <c r="D91" s="1" t="s">
        <v>105</v>
      </c>
      <c r="E91" s="1" t="s">
        <v>150</v>
      </c>
      <c r="F91" s="1" t="s">
        <v>387</v>
      </c>
      <c r="G91" s="1" t="s">
        <v>29</v>
      </c>
      <c r="H91" s="1" t="s">
        <v>141</v>
      </c>
      <c r="I91" s="1" t="s">
        <v>95</v>
      </c>
      <c r="J91" s="1" t="s">
        <v>48</v>
      </c>
      <c r="K91" s="1" t="s">
        <v>142</v>
      </c>
      <c r="L91" s="1" t="s">
        <v>123</v>
      </c>
      <c r="M91" s="1" t="s">
        <v>142</v>
      </c>
      <c r="N91" s="1" t="s">
        <v>126</v>
      </c>
      <c r="O91" s="1" t="s">
        <v>128</v>
      </c>
      <c r="P91" s="1" t="s">
        <v>130</v>
      </c>
      <c r="Q91" s="1" t="s">
        <v>86</v>
      </c>
      <c r="R91" s="1" t="s">
        <v>50</v>
      </c>
      <c r="S91" s="1" t="s">
        <v>656</v>
      </c>
      <c r="T91" s="1" t="s">
        <v>34</v>
      </c>
      <c r="U91" s="1" t="s">
        <v>44</v>
      </c>
      <c r="V91" s="1" t="s">
        <v>34</v>
      </c>
    </row>
    <row r="92" spans="1:22" x14ac:dyDescent="0.25">
      <c r="A92" s="1" t="s">
        <v>29</v>
      </c>
      <c r="B92" s="1" t="s">
        <v>388</v>
      </c>
      <c r="C92" s="1" t="s">
        <v>104</v>
      </c>
      <c r="D92" s="1" t="s">
        <v>105</v>
      </c>
      <c r="E92" s="1" t="s">
        <v>153</v>
      </c>
      <c r="F92" s="1" t="s">
        <v>389</v>
      </c>
      <c r="G92" s="1" t="s">
        <v>29</v>
      </c>
      <c r="H92" s="1" t="s">
        <v>141</v>
      </c>
      <c r="I92" s="1" t="s">
        <v>95</v>
      </c>
      <c r="J92" s="1" t="s">
        <v>48</v>
      </c>
      <c r="K92" s="1" t="s">
        <v>142</v>
      </c>
      <c r="L92" s="1" t="s">
        <v>123</v>
      </c>
      <c r="M92" s="1" t="s">
        <v>142</v>
      </c>
      <c r="N92" s="1" t="s">
        <v>126</v>
      </c>
      <c r="O92" s="1" t="s">
        <v>128</v>
      </c>
      <c r="P92" s="1" t="s">
        <v>130</v>
      </c>
      <c r="Q92" s="1" t="s">
        <v>86</v>
      </c>
      <c r="R92" s="1" t="s">
        <v>50</v>
      </c>
      <c r="S92" s="1" t="s">
        <v>656</v>
      </c>
      <c r="T92" s="1" t="s">
        <v>34</v>
      </c>
      <c r="U92" s="1" t="s">
        <v>44</v>
      </c>
      <c r="V92" s="1" t="s">
        <v>34</v>
      </c>
    </row>
    <row r="93" spans="1:22" x14ac:dyDescent="0.25">
      <c r="A93" s="1" t="s">
        <v>29</v>
      </c>
      <c r="B93" s="1" t="s">
        <v>390</v>
      </c>
      <c r="C93" s="1" t="s">
        <v>104</v>
      </c>
      <c r="D93" s="1" t="s">
        <v>105</v>
      </c>
      <c r="E93" s="1" t="s">
        <v>156</v>
      </c>
      <c r="F93" s="1" t="s">
        <v>391</v>
      </c>
      <c r="G93" s="1" t="s">
        <v>29</v>
      </c>
      <c r="H93" s="1" t="s">
        <v>141</v>
      </c>
      <c r="I93" s="1" t="s">
        <v>95</v>
      </c>
      <c r="J93" s="1" t="s">
        <v>48</v>
      </c>
      <c r="K93" s="1" t="s">
        <v>142</v>
      </c>
      <c r="L93" s="1" t="s">
        <v>123</v>
      </c>
      <c r="M93" s="1" t="s">
        <v>142</v>
      </c>
      <c r="N93" s="1" t="s">
        <v>126</v>
      </c>
      <c r="O93" s="1" t="s">
        <v>128</v>
      </c>
      <c r="P93" s="1" t="s">
        <v>130</v>
      </c>
      <c r="Q93" s="1" t="s">
        <v>86</v>
      </c>
      <c r="R93" s="1" t="s">
        <v>50</v>
      </c>
      <c r="S93" s="1" t="s">
        <v>656</v>
      </c>
      <c r="T93" s="1" t="s">
        <v>34</v>
      </c>
      <c r="U93" s="1" t="s">
        <v>44</v>
      </c>
      <c r="V93" s="1" t="s">
        <v>34</v>
      </c>
    </row>
    <row r="94" spans="1:22" x14ac:dyDescent="0.25">
      <c r="A94" s="1" t="s">
        <v>29</v>
      </c>
      <c r="B94" s="1" t="s">
        <v>392</v>
      </c>
      <c r="C94" s="1" t="s">
        <v>104</v>
      </c>
      <c r="D94" s="1" t="s">
        <v>105</v>
      </c>
      <c r="E94" s="1" t="s">
        <v>159</v>
      </c>
      <c r="F94" s="1" t="s">
        <v>393</v>
      </c>
      <c r="G94" s="1" t="s">
        <v>29</v>
      </c>
      <c r="H94" s="1" t="s">
        <v>141</v>
      </c>
      <c r="I94" s="1" t="s">
        <v>95</v>
      </c>
      <c r="J94" s="1" t="s">
        <v>48</v>
      </c>
      <c r="K94" s="1" t="s">
        <v>142</v>
      </c>
      <c r="L94" s="1" t="s">
        <v>123</v>
      </c>
      <c r="M94" s="1" t="s">
        <v>142</v>
      </c>
      <c r="N94" s="1" t="s">
        <v>126</v>
      </c>
      <c r="O94" s="1" t="s">
        <v>128</v>
      </c>
      <c r="P94" s="1" t="s">
        <v>130</v>
      </c>
      <c r="Q94" s="1" t="s">
        <v>86</v>
      </c>
      <c r="R94" s="1" t="s">
        <v>50</v>
      </c>
      <c r="S94" s="1" t="s">
        <v>656</v>
      </c>
      <c r="T94" s="1" t="s">
        <v>34</v>
      </c>
      <c r="U94" s="1" t="s">
        <v>44</v>
      </c>
      <c r="V94" s="1" t="s">
        <v>34</v>
      </c>
    </row>
    <row r="95" spans="1:22" x14ac:dyDescent="0.25">
      <c r="A95" s="1" t="s">
        <v>29</v>
      </c>
      <c r="B95" s="1" t="s">
        <v>394</v>
      </c>
      <c r="C95" s="1" t="s">
        <v>104</v>
      </c>
      <c r="D95" s="1" t="s">
        <v>105</v>
      </c>
      <c r="E95" s="1" t="s">
        <v>162</v>
      </c>
      <c r="F95" s="1" t="s">
        <v>395</v>
      </c>
      <c r="G95" s="1" t="s">
        <v>29</v>
      </c>
      <c r="H95" s="1" t="s">
        <v>141</v>
      </c>
      <c r="I95" s="1" t="s">
        <v>95</v>
      </c>
      <c r="J95" s="1" t="s">
        <v>48</v>
      </c>
      <c r="K95" s="1" t="s">
        <v>142</v>
      </c>
      <c r="L95" s="1" t="s">
        <v>123</v>
      </c>
      <c r="M95" s="1" t="s">
        <v>142</v>
      </c>
      <c r="N95" s="1" t="s">
        <v>126</v>
      </c>
      <c r="O95" s="1" t="s">
        <v>128</v>
      </c>
      <c r="P95" s="1" t="s">
        <v>130</v>
      </c>
      <c r="Q95" s="1" t="s">
        <v>86</v>
      </c>
      <c r="R95" s="1" t="s">
        <v>50</v>
      </c>
      <c r="S95" s="1" t="s">
        <v>656</v>
      </c>
      <c r="T95" s="1" t="s">
        <v>34</v>
      </c>
      <c r="U95" s="1" t="s">
        <v>44</v>
      </c>
      <c r="V95" s="1" t="s">
        <v>34</v>
      </c>
    </row>
    <row r="96" spans="1:22" x14ac:dyDescent="0.25">
      <c r="A96" s="1" t="s">
        <v>29</v>
      </c>
      <c r="B96" s="1" t="s">
        <v>396</v>
      </c>
      <c r="C96" s="1" t="s">
        <v>104</v>
      </c>
      <c r="D96" s="1" t="s">
        <v>105</v>
      </c>
      <c r="E96" s="1" t="s">
        <v>165</v>
      </c>
      <c r="F96" s="1" t="s">
        <v>397</v>
      </c>
      <c r="G96" s="1" t="s">
        <v>29</v>
      </c>
      <c r="H96" s="1" t="s">
        <v>141</v>
      </c>
      <c r="I96" s="1" t="s">
        <v>95</v>
      </c>
      <c r="J96" s="1" t="s">
        <v>48</v>
      </c>
      <c r="K96" s="1" t="s">
        <v>142</v>
      </c>
      <c r="L96" s="1" t="s">
        <v>123</v>
      </c>
      <c r="M96" s="1" t="s">
        <v>142</v>
      </c>
      <c r="N96" s="1" t="s">
        <v>126</v>
      </c>
      <c r="O96" s="1" t="s">
        <v>128</v>
      </c>
      <c r="P96" s="1" t="s">
        <v>130</v>
      </c>
      <c r="Q96" s="1" t="s">
        <v>86</v>
      </c>
      <c r="R96" s="1" t="s">
        <v>50</v>
      </c>
      <c r="S96" s="1" t="s">
        <v>656</v>
      </c>
      <c r="T96" s="1" t="s">
        <v>34</v>
      </c>
      <c r="U96" s="1" t="s">
        <v>44</v>
      </c>
      <c r="V96" s="1" t="s">
        <v>34</v>
      </c>
    </row>
    <row r="97" spans="1:22" x14ac:dyDescent="0.25">
      <c r="A97" s="1" t="s">
        <v>29</v>
      </c>
      <c r="B97" s="1" t="s">
        <v>398</v>
      </c>
      <c r="C97" s="1" t="s">
        <v>104</v>
      </c>
      <c r="D97" s="1" t="s">
        <v>105</v>
      </c>
      <c r="E97" s="1" t="s">
        <v>168</v>
      </c>
      <c r="F97" s="1" t="s">
        <v>399</v>
      </c>
      <c r="G97" s="1" t="s">
        <v>29</v>
      </c>
      <c r="H97" s="1" t="s">
        <v>141</v>
      </c>
      <c r="I97" s="1" t="s">
        <v>95</v>
      </c>
      <c r="J97" s="1" t="s">
        <v>48</v>
      </c>
      <c r="K97" s="1" t="s">
        <v>142</v>
      </c>
      <c r="L97" s="1" t="s">
        <v>123</v>
      </c>
      <c r="M97" s="1" t="s">
        <v>142</v>
      </c>
      <c r="N97" s="1" t="s">
        <v>126</v>
      </c>
      <c r="O97" s="1" t="s">
        <v>128</v>
      </c>
      <c r="P97" s="1" t="s">
        <v>130</v>
      </c>
      <c r="Q97" s="1" t="s">
        <v>86</v>
      </c>
      <c r="R97" s="1" t="s">
        <v>50</v>
      </c>
      <c r="S97" s="1" t="s">
        <v>656</v>
      </c>
      <c r="T97" s="1" t="s">
        <v>34</v>
      </c>
      <c r="U97" s="1" t="s">
        <v>44</v>
      </c>
      <c r="V97" s="1" t="s">
        <v>34</v>
      </c>
    </row>
    <row r="98" spans="1:22" x14ac:dyDescent="0.25">
      <c r="A98" s="1" t="s">
        <v>29</v>
      </c>
      <c r="B98" s="1" t="s">
        <v>400</v>
      </c>
      <c r="C98" s="1" t="s">
        <v>104</v>
      </c>
      <c r="D98" s="1" t="s">
        <v>105</v>
      </c>
      <c r="E98" s="1" t="s">
        <v>246</v>
      </c>
      <c r="F98" s="1" t="s">
        <v>401</v>
      </c>
      <c r="G98" s="1" t="s">
        <v>29</v>
      </c>
      <c r="H98" s="1" t="s">
        <v>141</v>
      </c>
      <c r="I98" s="1" t="s">
        <v>95</v>
      </c>
      <c r="J98" s="1" t="s">
        <v>48</v>
      </c>
      <c r="K98" s="1" t="s">
        <v>142</v>
      </c>
      <c r="L98" s="1" t="s">
        <v>123</v>
      </c>
      <c r="M98" s="1" t="s">
        <v>142</v>
      </c>
      <c r="N98" s="1" t="s">
        <v>126</v>
      </c>
      <c r="O98" s="1" t="s">
        <v>128</v>
      </c>
      <c r="P98" s="1" t="s">
        <v>130</v>
      </c>
      <c r="Q98" s="1" t="s">
        <v>86</v>
      </c>
      <c r="R98" s="1" t="s">
        <v>50</v>
      </c>
      <c r="S98" s="1" t="s">
        <v>656</v>
      </c>
      <c r="T98" s="1" t="s">
        <v>34</v>
      </c>
      <c r="U98" s="1" t="s">
        <v>44</v>
      </c>
      <c r="V98" s="1" t="s">
        <v>34</v>
      </c>
    </row>
    <row r="99" spans="1:22" x14ac:dyDescent="0.25">
      <c r="A99" s="1" t="s">
        <v>29</v>
      </c>
      <c r="B99" s="1" t="s">
        <v>402</v>
      </c>
      <c r="C99" s="1" t="s">
        <v>104</v>
      </c>
      <c r="D99" s="1" t="s">
        <v>105</v>
      </c>
      <c r="E99" s="1" t="s">
        <v>249</v>
      </c>
      <c r="F99" s="1" t="s">
        <v>403</v>
      </c>
      <c r="G99" s="1" t="s">
        <v>29</v>
      </c>
      <c r="H99" s="1" t="s">
        <v>141</v>
      </c>
      <c r="I99" s="1" t="s">
        <v>95</v>
      </c>
      <c r="J99" s="1" t="s">
        <v>48</v>
      </c>
      <c r="K99" s="1" t="s">
        <v>142</v>
      </c>
      <c r="L99" s="1" t="s">
        <v>123</v>
      </c>
      <c r="M99" s="1" t="s">
        <v>142</v>
      </c>
      <c r="N99" s="1" t="s">
        <v>126</v>
      </c>
      <c r="O99" s="1" t="s">
        <v>128</v>
      </c>
      <c r="P99" s="1" t="s">
        <v>130</v>
      </c>
      <c r="Q99" s="1" t="s">
        <v>86</v>
      </c>
      <c r="R99" s="1" t="s">
        <v>50</v>
      </c>
      <c r="S99" s="1" t="s">
        <v>656</v>
      </c>
      <c r="T99" s="1" t="s">
        <v>34</v>
      </c>
      <c r="U99" s="1" t="s">
        <v>44</v>
      </c>
      <c r="V99" s="1" t="s">
        <v>34</v>
      </c>
    </row>
    <row r="100" spans="1:22" x14ac:dyDescent="0.25">
      <c r="A100" s="1" t="s">
        <v>29</v>
      </c>
      <c r="B100" s="1" t="s">
        <v>404</v>
      </c>
      <c r="C100" s="1" t="s">
        <v>104</v>
      </c>
      <c r="D100" s="1" t="s">
        <v>105</v>
      </c>
      <c r="E100" s="1" t="s">
        <v>252</v>
      </c>
      <c r="F100" s="1" t="s">
        <v>405</v>
      </c>
      <c r="G100" s="1" t="s">
        <v>29</v>
      </c>
      <c r="H100" s="1" t="s">
        <v>141</v>
      </c>
      <c r="I100" s="1" t="s">
        <v>95</v>
      </c>
      <c r="J100" s="1" t="s">
        <v>48</v>
      </c>
      <c r="K100" s="1" t="s">
        <v>142</v>
      </c>
      <c r="L100" s="1" t="s">
        <v>123</v>
      </c>
      <c r="M100" s="1" t="s">
        <v>142</v>
      </c>
      <c r="N100" s="1" t="s">
        <v>126</v>
      </c>
      <c r="O100" s="1" t="s">
        <v>128</v>
      </c>
      <c r="P100" s="1" t="s">
        <v>130</v>
      </c>
      <c r="Q100" s="1" t="s">
        <v>86</v>
      </c>
      <c r="R100" s="1" t="s">
        <v>50</v>
      </c>
      <c r="S100" s="1" t="s">
        <v>656</v>
      </c>
      <c r="T100" s="1" t="s">
        <v>34</v>
      </c>
      <c r="U100" s="1" t="s">
        <v>44</v>
      </c>
      <c r="V100" s="1" t="s">
        <v>34</v>
      </c>
    </row>
    <row r="101" spans="1:22" x14ac:dyDescent="0.25">
      <c r="A101" s="1" t="s">
        <v>29</v>
      </c>
      <c r="B101" s="1" t="s">
        <v>406</v>
      </c>
      <c r="C101" s="1" t="s">
        <v>104</v>
      </c>
      <c r="D101" s="1" t="s">
        <v>105</v>
      </c>
      <c r="E101" s="1" t="s">
        <v>255</v>
      </c>
      <c r="F101" s="1" t="s">
        <v>407</v>
      </c>
      <c r="G101" s="1" t="s">
        <v>29</v>
      </c>
      <c r="H101" s="1" t="s">
        <v>141</v>
      </c>
      <c r="I101" s="1" t="s">
        <v>95</v>
      </c>
      <c r="J101" s="1" t="s">
        <v>48</v>
      </c>
      <c r="K101" s="1" t="s">
        <v>142</v>
      </c>
      <c r="L101" s="1" t="s">
        <v>123</v>
      </c>
      <c r="M101" s="1" t="s">
        <v>142</v>
      </c>
      <c r="N101" s="1" t="s">
        <v>126</v>
      </c>
      <c r="O101" s="1" t="s">
        <v>128</v>
      </c>
      <c r="P101" s="1" t="s">
        <v>130</v>
      </c>
      <c r="Q101" s="1" t="s">
        <v>86</v>
      </c>
      <c r="R101" s="1" t="s">
        <v>50</v>
      </c>
      <c r="S101" s="1" t="s">
        <v>656</v>
      </c>
      <c r="T101" s="1" t="s">
        <v>34</v>
      </c>
      <c r="U101" s="1" t="s">
        <v>44</v>
      </c>
      <c r="V101" s="1" t="s">
        <v>34</v>
      </c>
    </row>
    <row r="102" spans="1:22" x14ac:dyDescent="0.25">
      <c r="A102" s="1" t="s">
        <v>29</v>
      </c>
      <c r="B102" s="1" t="s">
        <v>408</v>
      </c>
      <c r="C102" s="1" t="s">
        <v>104</v>
      </c>
      <c r="D102" s="1" t="s">
        <v>105</v>
      </c>
      <c r="E102" s="1" t="s">
        <v>258</v>
      </c>
      <c r="F102" s="1" t="s">
        <v>409</v>
      </c>
      <c r="G102" s="1" t="s">
        <v>29</v>
      </c>
      <c r="H102" s="1" t="s">
        <v>141</v>
      </c>
      <c r="I102" s="1" t="s">
        <v>95</v>
      </c>
      <c r="J102" s="1" t="s">
        <v>48</v>
      </c>
      <c r="K102" s="1" t="s">
        <v>142</v>
      </c>
      <c r="L102" s="1" t="s">
        <v>123</v>
      </c>
      <c r="M102" s="1" t="s">
        <v>142</v>
      </c>
      <c r="N102" s="1" t="s">
        <v>126</v>
      </c>
      <c r="O102" s="1" t="s">
        <v>128</v>
      </c>
      <c r="P102" s="1" t="s">
        <v>130</v>
      </c>
      <c r="Q102" s="1" t="s">
        <v>86</v>
      </c>
      <c r="R102" s="1" t="s">
        <v>50</v>
      </c>
      <c r="S102" s="1" t="s">
        <v>656</v>
      </c>
      <c r="T102" s="1" t="s">
        <v>34</v>
      </c>
      <c r="U102" s="1" t="s">
        <v>44</v>
      </c>
      <c r="V102" s="1" t="s">
        <v>34</v>
      </c>
    </row>
    <row r="103" spans="1:22" x14ac:dyDescent="0.25">
      <c r="A103" s="1" t="s">
        <v>29</v>
      </c>
      <c r="B103" s="1" t="s">
        <v>410</v>
      </c>
      <c r="C103" s="1" t="s">
        <v>104</v>
      </c>
      <c r="D103" s="1" t="s">
        <v>105</v>
      </c>
      <c r="E103" s="1" t="s">
        <v>261</v>
      </c>
      <c r="F103" s="1" t="s">
        <v>411</v>
      </c>
      <c r="G103" s="1" t="s">
        <v>29</v>
      </c>
      <c r="H103" s="1" t="s">
        <v>141</v>
      </c>
      <c r="I103" s="1" t="s">
        <v>95</v>
      </c>
      <c r="J103" s="1" t="s">
        <v>48</v>
      </c>
      <c r="K103" s="1" t="s">
        <v>142</v>
      </c>
      <c r="L103" s="1" t="s">
        <v>123</v>
      </c>
      <c r="M103" s="1" t="s">
        <v>142</v>
      </c>
      <c r="N103" s="1" t="s">
        <v>126</v>
      </c>
      <c r="O103" s="1" t="s">
        <v>128</v>
      </c>
      <c r="P103" s="1" t="s">
        <v>130</v>
      </c>
      <c r="Q103" s="1" t="s">
        <v>86</v>
      </c>
      <c r="R103" s="1" t="s">
        <v>50</v>
      </c>
      <c r="S103" s="1" t="s">
        <v>656</v>
      </c>
      <c r="T103" s="1" t="s">
        <v>34</v>
      </c>
      <c r="U103" s="1" t="s">
        <v>44</v>
      </c>
      <c r="V103" s="1" t="s">
        <v>34</v>
      </c>
    </row>
    <row r="104" spans="1:22" x14ac:dyDescent="0.25">
      <c r="A104" s="1" t="s">
        <v>29</v>
      </c>
      <c r="B104" s="1" t="s">
        <v>412</v>
      </c>
      <c r="C104" s="1" t="s">
        <v>104</v>
      </c>
      <c r="D104" s="1" t="s">
        <v>105</v>
      </c>
      <c r="E104" s="1" t="s">
        <v>264</v>
      </c>
      <c r="F104" s="1" t="s">
        <v>413</v>
      </c>
      <c r="G104" s="1" t="s">
        <v>29</v>
      </c>
      <c r="H104" s="1" t="s">
        <v>141</v>
      </c>
      <c r="I104" s="1" t="s">
        <v>95</v>
      </c>
      <c r="J104" s="1" t="s">
        <v>48</v>
      </c>
      <c r="K104" s="1" t="s">
        <v>142</v>
      </c>
      <c r="L104" s="1" t="s">
        <v>123</v>
      </c>
      <c r="M104" s="1" t="s">
        <v>142</v>
      </c>
      <c r="N104" s="1" t="s">
        <v>126</v>
      </c>
      <c r="O104" s="1" t="s">
        <v>128</v>
      </c>
      <c r="P104" s="1" t="s">
        <v>130</v>
      </c>
      <c r="Q104" s="1" t="s">
        <v>86</v>
      </c>
      <c r="R104" s="1" t="s">
        <v>50</v>
      </c>
      <c r="S104" s="1" t="s">
        <v>656</v>
      </c>
      <c r="T104" s="1" t="s">
        <v>34</v>
      </c>
      <c r="U104" s="1" t="s">
        <v>44</v>
      </c>
      <c r="V104" s="1" t="s">
        <v>34</v>
      </c>
    </row>
    <row r="105" spans="1:22" x14ac:dyDescent="0.25">
      <c r="A105" s="1" t="s">
        <v>29</v>
      </c>
      <c r="B105" s="1" t="s">
        <v>414</v>
      </c>
      <c r="C105" s="1" t="s">
        <v>104</v>
      </c>
      <c r="D105" s="1" t="s">
        <v>105</v>
      </c>
      <c r="E105" s="1" t="s">
        <v>267</v>
      </c>
      <c r="F105" s="1" t="s">
        <v>415</v>
      </c>
      <c r="G105" s="1" t="s">
        <v>29</v>
      </c>
      <c r="H105" s="1" t="s">
        <v>141</v>
      </c>
      <c r="I105" s="1" t="s">
        <v>95</v>
      </c>
      <c r="J105" s="1" t="s">
        <v>48</v>
      </c>
      <c r="K105" s="1" t="s">
        <v>142</v>
      </c>
      <c r="L105" s="1" t="s">
        <v>123</v>
      </c>
      <c r="M105" s="1" t="s">
        <v>142</v>
      </c>
      <c r="N105" s="1" t="s">
        <v>126</v>
      </c>
      <c r="O105" s="1" t="s">
        <v>128</v>
      </c>
      <c r="P105" s="1" t="s">
        <v>130</v>
      </c>
      <c r="Q105" s="1" t="s">
        <v>86</v>
      </c>
      <c r="R105" s="1" t="s">
        <v>50</v>
      </c>
      <c r="S105" s="1" t="s">
        <v>656</v>
      </c>
      <c r="T105" s="1" t="s">
        <v>34</v>
      </c>
      <c r="U105" s="1" t="s">
        <v>44</v>
      </c>
      <c r="V105" s="1" t="s">
        <v>34</v>
      </c>
    </row>
    <row r="106" spans="1:22" x14ac:dyDescent="0.25">
      <c r="A106" s="1" t="s">
        <v>29</v>
      </c>
      <c r="B106" s="1" t="s">
        <v>416</v>
      </c>
      <c r="C106" s="1" t="s">
        <v>104</v>
      </c>
      <c r="D106" s="1" t="s">
        <v>105</v>
      </c>
      <c r="E106" s="1" t="s">
        <v>270</v>
      </c>
      <c r="F106" s="1" t="s">
        <v>417</v>
      </c>
      <c r="G106" s="1" t="s">
        <v>29</v>
      </c>
      <c r="H106" s="1" t="s">
        <v>141</v>
      </c>
      <c r="I106" s="1" t="s">
        <v>95</v>
      </c>
      <c r="J106" s="1" t="s">
        <v>48</v>
      </c>
      <c r="K106" s="1" t="s">
        <v>142</v>
      </c>
      <c r="L106" s="1" t="s">
        <v>123</v>
      </c>
      <c r="M106" s="1" t="s">
        <v>142</v>
      </c>
      <c r="N106" s="1" t="s">
        <v>126</v>
      </c>
      <c r="O106" s="1" t="s">
        <v>128</v>
      </c>
      <c r="P106" s="1" t="s">
        <v>130</v>
      </c>
      <c r="Q106" s="1" t="s">
        <v>86</v>
      </c>
      <c r="R106" s="1" t="s">
        <v>50</v>
      </c>
      <c r="S106" s="1" t="s">
        <v>656</v>
      </c>
      <c r="T106" s="1" t="s">
        <v>34</v>
      </c>
      <c r="U106" s="1" t="s">
        <v>44</v>
      </c>
      <c r="V106" s="1" t="s">
        <v>34</v>
      </c>
    </row>
    <row r="107" spans="1:22" x14ac:dyDescent="0.25">
      <c r="A107" s="1" t="s">
        <v>29</v>
      </c>
      <c r="B107" s="1" t="s">
        <v>418</v>
      </c>
      <c r="C107" s="1" t="s">
        <v>104</v>
      </c>
      <c r="D107" s="1" t="s">
        <v>105</v>
      </c>
      <c r="E107" s="1" t="s">
        <v>273</v>
      </c>
      <c r="F107" s="1" t="s">
        <v>419</v>
      </c>
      <c r="G107" s="1" t="s">
        <v>29</v>
      </c>
      <c r="H107" s="1" t="s">
        <v>141</v>
      </c>
      <c r="I107" s="1" t="s">
        <v>95</v>
      </c>
      <c r="J107" s="1" t="s">
        <v>48</v>
      </c>
      <c r="K107" s="1" t="s">
        <v>142</v>
      </c>
      <c r="L107" s="1" t="s">
        <v>123</v>
      </c>
      <c r="M107" s="1" t="s">
        <v>142</v>
      </c>
      <c r="N107" s="1" t="s">
        <v>126</v>
      </c>
      <c r="O107" s="1" t="s">
        <v>128</v>
      </c>
      <c r="P107" s="1" t="s">
        <v>130</v>
      </c>
      <c r="Q107" s="1" t="s">
        <v>86</v>
      </c>
      <c r="R107" s="1" t="s">
        <v>50</v>
      </c>
      <c r="S107" s="1" t="s">
        <v>656</v>
      </c>
      <c r="T107" s="1" t="s">
        <v>34</v>
      </c>
      <c r="U107" s="1" t="s">
        <v>44</v>
      </c>
      <c r="V107" s="1" t="s">
        <v>34</v>
      </c>
    </row>
    <row r="108" spans="1:22" x14ac:dyDescent="0.25">
      <c r="A108" s="1" t="s">
        <v>29</v>
      </c>
      <c r="B108" s="1" t="s">
        <v>420</v>
      </c>
      <c r="C108" s="1" t="s">
        <v>104</v>
      </c>
      <c r="D108" s="1" t="s">
        <v>105</v>
      </c>
      <c r="E108" s="1" t="s">
        <v>276</v>
      </c>
      <c r="F108" s="1" t="s">
        <v>421</v>
      </c>
      <c r="G108" s="1" t="s">
        <v>29</v>
      </c>
      <c r="H108" s="1" t="s">
        <v>141</v>
      </c>
      <c r="I108" s="1" t="s">
        <v>95</v>
      </c>
      <c r="J108" s="1" t="s">
        <v>48</v>
      </c>
      <c r="K108" s="1" t="s">
        <v>142</v>
      </c>
      <c r="L108" s="1" t="s">
        <v>123</v>
      </c>
      <c r="M108" s="1" t="s">
        <v>142</v>
      </c>
      <c r="N108" s="1" t="s">
        <v>126</v>
      </c>
      <c r="O108" s="1" t="s">
        <v>128</v>
      </c>
      <c r="P108" s="1" t="s">
        <v>130</v>
      </c>
      <c r="Q108" s="1" t="s">
        <v>86</v>
      </c>
      <c r="R108" s="1" t="s">
        <v>50</v>
      </c>
      <c r="S108" s="1" t="s">
        <v>656</v>
      </c>
      <c r="T108" s="1" t="s">
        <v>34</v>
      </c>
      <c r="U108" s="1" t="s">
        <v>44</v>
      </c>
      <c r="V108" s="1" t="s">
        <v>34</v>
      </c>
    </row>
    <row r="109" spans="1:22" x14ac:dyDescent="0.25">
      <c r="A109" s="1" t="s">
        <v>29</v>
      </c>
      <c r="B109" s="1" t="s">
        <v>422</v>
      </c>
      <c r="C109" s="1" t="s">
        <v>104</v>
      </c>
      <c r="D109" s="1" t="s">
        <v>105</v>
      </c>
      <c r="E109" s="1" t="s">
        <v>279</v>
      </c>
      <c r="F109" s="1" t="s">
        <v>423</v>
      </c>
      <c r="G109" s="1" t="s">
        <v>29</v>
      </c>
      <c r="H109" s="1" t="s">
        <v>141</v>
      </c>
      <c r="I109" s="1" t="s">
        <v>95</v>
      </c>
      <c r="J109" s="1" t="s">
        <v>48</v>
      </c>
      <c r="K109" s="1" t="s">
        <v>142</v>
      </c>
      <c r="L109" s="1" t="s">
        <v>123</v>
      </c>
      <c r="M109" s="1" t="s">
        <v>142</v>
      </c>
      <c r="N109" s="1" t="s">
        <v>126</v>
      </c>
      <c r="O109" s="1" t="s">
        <v>128</v>
      </c>
      <c r="P109" s="1" t="s">
        <v>130</v>
      </c>
      <c r="Q109" s="1" t="s">
        <v>86</v>
      </c>
      <c r="R109" s="1" t="s">
        <v>50</v>
      </c>
      <c r="S109" s="1" t="s">
        <v>656</v>
      </c>
      <c r="T109" s="1" t="s">
        <v>34</v>
      </c>
      <c r="U109" s="1" t="s">
        <v>44</v>
      </c>
      <c r="V109" s="1" t="s">
        <v>34</v>
      </c>
    </row>
    <row r="110" spans="1:22" x14ac:dyDescent="0.25">
      <c r="A110" s="1" t="s">
        <v>29</v>
      </c>
      <c r="B110" s="1" t="s">
        <v>424</v>
      </c>
      <c r="C110" s="1" t="s">
        <v>104</v>
      </c>
      <c r="D110" s="1" t="s">
        <v>105</v>
      </c>
      <c r="E110" s="1" t="s">
        <v>282</v>
      </c>
      <c r="F110" s="1" t="s">
        <v>425</v>
      </c>
      <c r="G110" s="1" t="s">
        <v>29</v>
      </c>
      <c r="H110" s="1" t="s">
        <v>141</v>
      </c>
      <c r="I110" s="1" t="s">
        <v>95</v>
      </c>
      <c r="J110" s="1" t="s">
        <v>48</v>
      </c>
      <c r="K110" s="1" t="s">
        <v>142</v>
      </c>
      <c r="L110" s="1" t="s">
        <v>123</v>
      </c>
      <c r="M110" s="1" t="s">
        <v>142</v>
      </c>
      <c r="N110" s="1" t="s">
        <v>126</v>
      </c>
      <c r="O110" s="1" t="s">
        <v>128</v>
      </c>
      <c r="P110" s="1" t="s">
        <v>130</v>
      </c>
      <c r="Q110" s="1" t="s">
        <v>86</v>
      </c>
      <c r="R110" s="1" t="s">
        <v>50</v>
      </c>
      <c r="S110" s="1" t="s">
        <v>656</v>
      </c>
      <c r="T110" s="1" t="s">
        <v>34</v>
      </c>
      <c r="U110" s="1" t="s">
        <v>44</v>
      </c>
      <c r="V110" s="1" t="s">
        <v>34</v>
      </c>
    </row>
    <row r="111" spans="1:22" x14ac:dyDescent="0.25">
      <c r="A111" s="1" t="s">
        <v>29</v>
      </c>
      <c r="B111" s="1" t="s">
        <v>426</v>
      </c>
      <c r="C111" s="1" t="s">
        <v>104</v>
      </c>
      <c r="D111" s="1" t="s">
        <v>105</v>
      </c>
      <c r="E111" s="1" t="s">
        <v>285</v>
      </c>
      <c r="F111" s="1" t="s">
        <v>427</v>
      </c>
      <c r="G111" s="1" t="s">
        <v>29</v>
      </c>
      <c r="H111" s="1" t="s">
        <v>141</v>
      </c>
      <c r="I111" s="1" t="s">
        <v>95</v>
      </c>
      <c r="J111" s="1" t="s">
        <v>48</v>
      </c>
      <c r="K111" s="1" t="s">
        <v>142</v>
      </c>
      <c r="L111" s="1" t="s">
        <v>123</v>
      </c>
      <c r="M111" s="1" t="s">
        <v>142</v>
      </c>
      <c r="N111" s="1" t="s">
        <v>126</v>
      </c>
      <c r="O111" s="1" t="s">
        <v>128</v>
      </c>
      <c r="P111" s="1" t="s">
        <v>130</v>
      </c>
      <c r="Q111" s="1" t="s">
        <v>86</v>
      </c>
      <c r="R111" s="1" t="s">
        <v>50</v>
      </c>
      <c r="S111" s="1" t="s">
        <v>656</v>
      </c>
      <c r="T111" s="1" t="s">
        <v>34</v>
      </c>
      <c r="U111" s="1" t="s">
        <v>44</v>
      </c>
      <c r="V111" s="1" t="s">
        <v>34</v>
      </c>
    </row>
    <row r="112" spans="1:22" x14ac:dyDescent="0.25">
      <c r="A112" s="1" t="s">
        <v>29</v>
      </c>
      <c r="B112" s="1" t="s">
        <v>428</v>
      </c>
      <c r="C112" s="1" t="s">
        <v>104</v>
      </c>
      <c r="D112" s="1" t="s">
        <v>105</v>
      </c>
      <c r="E112" s="1" t="s">
        <v>288</v>
      </c>
      <c r="F112" s="1" t="s">
        <v>429</v>
      </c>
      <c r="G112" s="1" t="s">
        <v>29</v>
      </c>
      <c r="H112" s="1" t="s">
        <v>141</v>
      </c>
      <c r="I112" s="1" t="s">
        <v>95</v>
      </c>
      <c r="J112" s="1" t="s">
        <v>48</v>
      </c>
      <c r="K112" s="1" t="s">
        <v>142</v>
      </c>
      <c r="L112" s="1" t="s">
        <v>123</v>
      </c>
      <c r="M112" s="1" t="s">
        <v>142</v>
      </c>
      <c r="N112" s="1" t="s">
        <v>126</v>
      </c>
      <c r="O112" s="1" t="s">
        <v>128</v>
      </c>
      <c r="P112" s="1" t="s">
        <v>130</v>
      </c>
      <c r="Q112" s="1" t="s">
        <v>86</v>
      </c>
      <c r="R112" s="1" t="s">
        <v>50</v>
      </c>
      <c r="S112" s="1" t="s">
        <v>656</v>
      </c>
      <c r="T112" s="1" t="s">
        <v>34</v>
      </c>
      <c r="U112" s="1" t="s">
        <v>44</v>
      </c>
      <c r="V112" s="1" t="s">
        <v>34</v>
      </c>
    </row>
    <row r="113" spans="1:22" x14ac:dyDescent="0.25">
      <c r="A113" s="1" t="s">
        <v>29</v>
      </c>
      <c r="B113" s="1" t="s">
        <v>430</v>
      </c>
      <c r="C113" s="1" t="s">
        <v>104</v>
      </c>
      <c r="D113" s="1" t="s">
        <v>105</v>
      </c>
      <c r="E113" s="1" t="s">
        <v>291</v>
      </c>
      <c r="F113" s="1" t="s">
        <v>431</v>
      </c>
      <c r="G113" s="1" t="s">
        <v>29</v>
      </c>
      <c r="H113" s="1" t="s">
        <v>141</v>
      </c>
      <c r="I113" s="1" t="s">
        <v>95</v>
      </c>
      <c r="J113" s="1" t="s">
        <v>48</v>
      </c>
      <c r="K113" s="1" t="s">
        <v>142</v>
      </c>
      <c r="L113" s="1" t="s">
        <v>123</v>
      </c>
      <c r="M113" s="1" t="s">
        <v>142</v>
      </c>
      <c r="N113" s="1" t="s">
        <v>126</v>
      </c>
      <c r="O113" s="1" t="s">
        <v>128</v>
      </c>
      <c r="P113" s="1" t="s">
        <v>130</v>
      </c>
      <c r="Q113" s="1" t="s">
        <v>86</v>
      </c>
      <c r="R113" s="1" t="s">
        <v>50</v>
      </c>
      <c r="S113" s="1" t="s">
        <v>656</v>
      </c>
      <c r="T113" s="1" t="s">
        <v>34</v>
      </c>
      <c r="U113" s="1" t="s">
        <v>44</v>
      </c>
      <c r="V113" s="1" t="s">
        <v>34</v>
      </c>
    </row>
    <row r="114" spans="1:22" x14ac:dyDescent="0.25">
      <c r="A114" s="1" t="s">
        <v>29</v>
      </c>
      <c r="B114" s="1" t="s">
        <v>432</v>
      </c>
      <c r="C114" s="1" t="s">
        <v>104</v>
      </c>
      <c r="D114" s="1" t="s">
        <v>105</v>
      </c>
      <c r="E114" s="1" t="s">
        <v>294</v>
      </c>
      <c r="F114" s="1" t="s">
        <v>433</v>
      </c>
      <c r="G114" s="1" t="s">
        <v>29</v>
      </c>
      <c r="H114" s="1" t="s">
        <v>141</v>
      </c>
      <c r="I114" s="1" t="s">
        <v>95</v>
      </c>
      <c r="J114" s="1" t="s">
        <v>48</v>
      </c>
      <c r="K114" s="1" t="s">
        <v>142</v>
      </c>
      <c r="L114" s="1" t="s">
        <v>123</v>
      </c>
      <c r="M114" s="1" t="s">
        <v>142</v>
      </c>
      <c r="N114" s="1" t="s">
        <v>126</v>
      </c>
      <c r="O114" s="1" t="s">
        <v>128</v>
      </c>
      <c r="P114" s="1" t="s">
        <v>130</v>
      </c>
      <c r="Q114" s="1" t="s">
        <v>86</v>
      </c>
      <c r="R114" s="1" t="s">
        <v>50</v>
      </c>
      <c r="S114" s="1" t="s">
        <v>656</v>
      </c>
      <c r="T114" s="1" t="s">
        <v>34</v>
      </c>
      <c r="U114" s="1" t="s">
        <v>44</v>
      </c>
      <c r="V114" s="1" t="s">
        <v>34</v>
      </c>
    </row>
    <row r="115" spans="1:22" x14ac:dyDescent="0.25">
      <c r="A115" s="1" t="s">
        <v>29</v>
      </c>
      <c r="B115" s="1" t="s">
        <v>434</v>
      </c>
      <c r="C115" s="1" t="s">
        <v>104</v>
      </c>
      <c r="D115" s="1" t="s">
        <v>105</v>
      </c>
      <c r="E115" s="1" t="s">
        <v>297</v>
      </c>
      <c r="F115" s="1" t="s">
        <v>435</v>
      </c>
      <c r="G115" s="1" t="s">
        <v>29</v>
      </c>
      <c r="H115" s="1" t="s">
        <v>141</v>
      </c>
      <c r="I115" s="1" t="s">
        <v>95</v>
      </c>
      <c r="J115" s="1" t="s">
        <v>48</v>
      </c>
      <c r="K115" s="1" t="s">
        <v>142</v>
      </c>
      <c r="L115" s="1" t="s">
        <v>123</v>
      </c>
      <c r="M115" s="1" t="s">
        <v>142</v>
      </c>
      <c r="N115" s="1" t="s">
        <v>126</v>
      </c>
      <c r="O115" s="1" t="s">
        <v>128</v>
      </c>
      <c r="P115" s="1" t="s">
        <v>130</v>
      </c>
      <c r="Q115" s="1" t="s">
        <v>86</v>
      </c>
      <c r="R115" s="1" t="s">
        <v>50</v>
      </c>
      <c r="S115" s="1" t="s">
        <v>656</v>
      </c>
      <c r="T115" s="1" t="s">
        <v>34</v>
      </c>
      <c r="U115" s="1" t="s">
        <v>44</v>
      </c>
      <c r="V115" s="1" t="s">
        <v>34</v>
      </c>
    </row>
    <row r="116" spans="1:22" x14ac:dyDescent="0.25">
      <c r="A116" s="1" t="s">
        <v>29</v>
      </c>
      <c r="B116" s="1" t="s">
        <v>436</v>
      </c>
      <c r="C116" s="1" t="s">
        <v>104</v>
      </c>
      <c r="D116" s="1" t="s">
        <v>105</v>
      </c>
      <c r="E116" s="1" t="s">
        <v>300</v>
      </c>
      <c r="F116" s="1" t="s">
        <v>437</v>
      </c>
      <c r="G116" s="1" t="s">
        <v>29</v>
      </c>
      <c r="H116" s="1" t="s">
        <v>141</v>
      </c>
      <c r="I116" s="1" t="s">
        <v>95</v>
      </c>
      <c r="J116" s="1" t="s">
        <v>48</v>
      </c>
      <c r="K116" s="1" t="s">
        <v>142</v>
      </c>
      <c r="L116" s="1" t="s">
        <v>123</v>
      </c>
      <c r="M116" s="1" t="s">
        <v>142</v>
      </c>
      <c r="N116" s="1" t="s">
        <v>126</v>
      </c>
      <c r="O116" s="1" t="s">
        <v>128</v>
      </c>
      <c r="P116" s="1" t="s">
        <v>130</v>
      </c>
      <c r="Q116" s="1" t="s">
        <v>86</v>
      </c>
      <c r="R116" s="1" t="s">
        <v>50</v>
      </c>
      <c r="S116" s="1" t="s">
        <v>656</v>
      </c>
      <c r="T116" s="1" t="s">
        <v>34</v>
      </c>
      <c r="U116" s="1" t="s">
        <v>44</v>
      </c>
      <c r="V116" s="1" t="s">
        <v>34</v>
      </c>
    </row>
    <row r="117" spans="1:22" x14ac:dyDescent="0.25">
      <c r="A117" s="1" t="s">
        <v>29</v>
      </c>
      <c r="B117" s="1" t="s">
        <v>438</v>
      </c>
      <c r="C117" s="1" t="s">
        <v>104</v>
      </c>
      <c r="D117" s="1" t="s">
        <v>105</v>
      </c>
      <c r="E117" s="1" t="s">
        <v>303</v>
      </c>
      <c r="F117" s="1" t="s">
        <v>439</v>
      </c>
      <c r="G117" s="1" t="s">
        <v>29</v>
      </c>
      <c r="H117" s="1" t="s">
        <v>141</v>
      </c>
      <c r="I117" s="1" t="s">
        <v>95</v>
      </c>
      <c r="J117" s="1" t="s">
        <v>48</v>
      </c>
      <c r="K117" s="1" t="s">
        <v>142</v>
      </c>
      <c r="L117" s="1" t="s">
        <v>123</v>
      </c>
      <c r="M117" s="1" t="s">
        <v>142</v>
      </c>
      <c r="N117" s="1" t="s">
        <v>126</v>
      </c>
      <c r="O117" s="1" t="s">
        <v>128</v>
      </c>
      <c r="P117" s="1" t="s">
        <v>130</v>
      </c>
      <c r="Q117" s="1" t="s">
        <v>86</v>
      </c>
      <c r="R117" s="1" t="s">
        <v>50</v>
      </c>
      <c r="S117" s="1" t="s">
        <v>656</v>
      </c>
      <c r="T117" s="1" t="s">
        <v>34</v>
      </c>
      <c r="U117" s="1" t="s">
        <v>44</v>
      </c>
      <c r="V117" s="1" t="s">
        <v>34</v>
      </c>
    </row>
    <row r="118" spans="1:22" x14ac:dyDescent="0.25">
      <c r="A118" s="1" t="s">
        <v>29</v>
      </c>
      <c r="B118" s="1" t="s">
        <v>440</v>
      </c>
      <c r="C118" s="1" t="s">
        <v>104</v>
      </c>
      <c r="D118" s="1" t="s">
        <v>105</v>
      </c>
      <c r="E118" s="1" t="s">
        <v>306</v>
      </c>
      <c r="F118" s="1" t="s">
        <v>441</v>
      </c>
      <c r="G118" s="1" t="s">
        <v>29</v>
      </c>
      <c r="H118" s="1" t="s">
        <v>141</v>
      </c>
      <c r="I118" s="1" t="s">
        <v>95</v>
      </c>
      <c r="J118" s="1" t="s">
        <v>48</v>
      </c>
      <c r="K118" s="1" t="s">
        <v>142</v>
      </c>
      <c r="L118" s="1" t="s">
        <v>123</v>
      </c>
      <c r="M118" s="1" t="s">
        <v>142</v>
      </c>
      <c r="N118" s="1" t="s">
        <v>126</v>
      </c>
      <c r="O118" s="1" t="s">
        <v>128</v>
      </c>
      <c r="P118" s="1" t="s">
        <v>130</v>
      </c>
      <c r="Q118" s="1" t="s">
        <v>86</v>
      </c>
      <c r="R118" s="1" t="s">
        <v>50</v>
      </c>
      <c r="S118" s="1" t="s">
        <v>656</v>
      </c>
      <c r="T118" s="1" t="s">
        <v>34</v>
      </c>
      <c r="U118" s="1" t="s">
        <v>44</v>
      </c>
      <c r="V118" s="1" t="s">
        <v>34</v>
      </c>
    </row>
    <row r="119" spans="1:22" x14ac:dyDescent="0.25">
      <c r="A119" s="1" t="s">
        <v>29</v>
      </c>
      <c r="B119" s="1" t="s">
        <v>442</v>
      </c>
      <c r="C119" s="1" t="s">
        <v>104</v>
      </c>
      <c r="D119" s="1" t="s">
        <v>105</v>
      </c>
      <c r="E119" s="1" t="s">
        <v>309</v>
      </c>
      <c r="F119" s="1" t="s">
        <v>443</v>
      </c>
      <c r="G119" s="1" t="s">
        <v>29</v>
      </c>
      <c r="H119" s="1" t="s">
        <v>141</v>
      </c>
      <c r="I119" s="1" t="s">
        <v>95</v>
      </c>
      <c r="J119" s="1" t="s">
        <v>48</v>
      </c>
      <c r="K119" s="1" t="s">
        <v>142</v>
      </c>
      <c r="L119" s="1" t="s">
        <v>123</v>
      </c>
      <c r="M119" s="1" t="s">
        <v>142</v>
      </c>
      <c r="N119" s="1" t="s">
        <v>126</v>
      </c>
      <c r="O119" s="1" t="s">
        <v>128</v>
      </c>
      <c r="P119" s="1" t="s">
        <v>130</v>
      </c>
      <c r="Q119" s="1" t="s">
        <v>86</v>
      </c>
      <c r="R119" s="1" t="s">
        <v>50</v>
      </c>
      <c r="S119" s="1" t="s">
        <v>656</v>
      </c>
      <c r="T119" s="1" t="s">
        <v>34</v>
      </c>
      <c r="U119" s="1" t="s">
        <v>44</v>
      </c>
      <c r="V119" s="1" t="s">
        <v>34</v>
      </c>
    </row>
    <row r="120" spans="1:22" x14ac:dyDescent="0.25">
      <c r="A120" s="1" t="s">
        <v>29</v>
      </c>
      <c r="B120" s="1" t="s">
        <v>444</v>
      </c>
      <c r="C120" s="1" t="s">
        <v>104</v>
      </c>
      <c r="D120" s="1" t="s">
        <v>105</v>
      </c>
      <c r="E120" s="1" t="s">
        <v>312</v>
      </c>
      <c r="F120" s="1" t="s">
        <v>445</v>
      </c>
      <c r="G120" s="1" t="s">
        <v>29</v>
      </c>
      <c r="H120" s="1" t="s">
        <v>141</v>
      </c>
      <c r="I120" s="1" t="s">
        <v>95</v>
      </c>
      <c r="J120" s="1" t="s">
        <v>48</v>
      </c>
      <c r="K120" s="1" t="s">
        <v>142</v>
      </c>
      <c r="L120" s="1" t="s">
        <v>123</v>
      </c>
      <c r="M120" s="1" t="s">
        <v>142</v>
      </c>
      <c r="N120" s="1" t="s">
        <v>126</v>
      </c>
      <c r="O120" s="1" t="s">
        <v>128</v>
      </c>
      <c r="P120" s="1" t="s">
        <v>130</v>
      </c>
      <c r="Q120" s="1" t="s">
        <v>86</v>
      </c>
      <c r="R120" s="1" t="s">
        <v>50</v>
      </c>
      <c r="S120" s="1" t="s">
        <v>656</v>
      </c>
      <c r="T120" s="1" t="s">
        <v>34</v>
      </c>
      <c r="U120" s="1" t="s">
        <v>44</v>
      </c>
      <c r="V120" s="1" t="s">
        <v>34</v>
      </c>
    </row>
    <row r="121" spans="1:22" x14ac:dyDescent="0.25">
      <c r="A121" s="1" t="s">
        <v>29</v>
      </c>
      <c r="B121" s="1" t="s">
        <v>446</v>
      </c>
      <c r="C121" s="1" t="s">
        <v>104</v>
      </c>
      <c r="D121" s="1" t="s">
        <v>105</v>
      </c>
      <c r="E121" s="1" t="s">
        <v>315</v>
      </c>
      <c r="F121" s="1" t="s">
        <v>447</v>
      </c>
      <c r="G121" s="1" t="s">
        <v>29</v>
      </c>
      <c r="H121" s="1" t="s">
        <v>141</v>
      </c>
      <c r="I121" s="1" t="s">
        <v>95</v>
      </c>
      <c r="J121" s="1" t="s">
        <v>48</v>
      </c>
      <c r="K121" s="1" t="s">
        <v>142</v>
      </c>
      <c r="L121" s="1" t="s">
        <v>123</v>
      </c>
      <c r="M121" s="1" t="s">
        <v>142</v>
      </c>
      <c r="N121" s="1" t="s">
        <v>126</v>
      </c>
      <c r="O121" s="1" t="s">
        <v>128</v>
      </c>
      <c r="P121" s="1" t="s">
        <v>130</v>
      </c>
      <c r="Q121" s="1" t="s">
        <v>86</v>
      </c>
      <c r="R121" s="1" t="s">
        <v>50</v>
      </c>
      <c r="S121" s="1" t="s">
        <v>656</v>
      </c>
      <c r="T121" s="1" t="s">
        <v>34</v>
      </c>
      <c r="U121" s="1" t="s">
        <v>44</v>
      </c>
      <c r="V121" s="1" t="s">
        <v>34</v>
      </c>
    </row>
    <row r="122" spans="1:22" x14ac:dyDescent="0.25">
      <c r="A122" s="1" t="s">
        <v>29</v>
      </c>
      <c r="B122" s="1" t="s">
        <v>448</v>
      </c>
      <c r="C122" s="1" t="s">
        <v>104</v>
      </c>
      <c r="D122" s="1" t="s">
        <v>105</v>
      </c>
      <c r="E122" s="1" t="s">
        <v>318</v>
      </c>
      <c r="F122" s="1" t="s">
        <v>449</v>
      </c>
      <c r="G122" s="1" t="s">
        <v>29</v>
      </c>
      <c r="H122" s="1" t="s">
        <v>141</v>
      </c>
      <c r="I122" s="1" t="s">
        <v>95</v>
      </c>
      <c r="J122" s="1" t="s">
        <v>48</v>
      </c>
      <c r="K122" s="1" t="s">
        <v>142</v>
      </c>
      <c r="L122" s="1" t="s">
        <v>123</v>
      </c>
      <c r="M122" s="1" t="s">
        <v>142</v>
      </c>
      <c r="N122" s="1" t="s">
        <v>126</v>
      </c>
      <c r="O122" s="1" t="s">
        <v>128</v>
      </c>
      <c r="P122" s="1" t="s">
        <v>130</v>
      </c>
      <c r="Q122" s="1" t="s">
        <v>86</v>
      </c>
      <c r="R122" s="1" t="s">
        <v>50</v>
      </c>
      <c r="S122" s="1" t="s">
        <v>656</v>
      </c>
      <c r="T122" s="1" t="s">
        <v>34</v>
      </c>
      <c r="U122" s="1" t="s">
        <v>44</v>
      </c>
      <c r="V122" s="1" t="s">
        <v>34</v>
      </c>
    </row>
    <row r="123" spans="1:22" x14ac:dyDescent="0.25">
      <c r="A123" s="1" t="s">
        <v>29</v>
      </c>
      <c r="B123" s="1" t="s">
        <v>450</v>
      </c>
      <c r="C123" s="1" t="s">
        <v>104</v>
      </c>
      <c r="D123" s="1" t="s">
        <v>105</v>
      </c>
      <c r="E123" s="1" t="s">
        <v>321</v>
      </c>
      <c r="F123" s="1" t="s">
        <v>451</v>
      </c>
      <c r="G123" s="1" t="s">
        <v>29</v>
      </c>
      <c r="H123" s="1" t="s">
        <v>141</v>
      </c>
      <c r="I123" s="1" t="s">
        <v>95</v>
      </c>
      <c r="J123" s="1" t="s">
        <v>48</v>
      </c>
      <c r="K123" s="1" t="s">
        <v>142</v>
      </c>
      <c r="L123" s="1" t="s">
        <v>123</v>
      </c>
      <c r="M123" s="1" t="s">
        <v>142</v>
      </c>
      <c r="N123" s="1" t="s">
        <v>126</v>
      </c>
      <c r="O123" s="1" t="s">
        <v>128</v>
      </c>
      <c r="P123" s="1" t="s">
        <v>130</v>
      </c>
      <c r="Q123" s="1" t="s">
        <v>86</v>
      </c>
      <c r="R123" s="1" t="s">
        <v>50</v>
      </c>
      <c r="S123" s="1" t="s">
        <v>656</v>
      </c>
      <c r="T123" s="1" t="s">
        <v>34</v>
      </c>
      <c r="U123" s="1" t="s">
        <v>44</v>
      </c>
      <c r="V123" s="1" t="s">
        <v>34</v>
      </c>
    </row>
    <row r="124" spans="1:22" x14ac:dyDescent="0.25">
      <c r="A124" s="1" t="s">
        <v>29</v>
      </c>
      <c r="B124" s="1" t="s">
        <v>452</v>
      </c>
      <c r="C124" s="1" t="s">
        <v>104</v>
      </c>
      <c r="D124" s="1" t="s">
        <v>105</v>
      </c>
      <c r="E124" s="1" t="s">
        <v>324</v>
      </c>
      <c r="F124" s="1" t="s">
        <v>453</v>
      </c>
      <c r="G124" s="1" t="s">
        <v>29</v>
      </c>
      <c r="H124" s="1" t="s">
        <v>141</v>
      </c>
      <c r="I124" s="1" t="s">
        <v>95</v>
      </c>
      <c r="J124" s="1" t="s">
        <v>48</v>
      </c>
      <c r="K124" s="1" t="s">
        <v>142</v>
      </c>
      <c r="L124" s="1" t="s">
        <v>123</v>
      </c>
      <c r="M124" s="1" t="s">
        <v>142</v>
      </c>
      <c r="N124" s="1" t="s">
        <v>126</v>
      </c>
      <c r="O124" s="1" t="s">
        <v>128</v>
      </c>
      <c r="P124" s="1" t="s">
        <v>130</v>
      </c>
      <c r="Q124" s="1" t="s">
        <v>86</v>
      </c>
      <c r="R124" s="1" t="s">
        <v>50</v>
      </c>
      <c r="S124" s="1" t="s">
        <v>656</v>
      </c>
      <c r="T124" s="1" t="s">
        <v>34</v>
      </c>
      <c r="U124" s="1" t="s">
        <v>44</v>
      </c>
      <c r="V124" s="1" t="s">
        <v>34</v>
      </c>
    </row>
    <row r="125" spans="1:22" x14ac:dyDescent="0.25">
      <c r="A125" s="1" t="s">
        <v>29</v>
      </c>
      <c r="B125" s="1" t="s">
        <v>454</v>
      </c>
      <c r="C125" s="1" t="s">
        <v>104</v>
      </c>
      <c r="D125" s="1" t="s">
        <v>105</v>
      </c>
      <c r="E125" s="1" t="s">
        <v>327</v>
      </c>
      <c r="F125" s="1" t="s">
        <v>455</v>
      </c>
      <c r="G125" s="1" t="s">
        <v>29</v>
      </c>
      <c r="H125" s="1" t="s">
        <v>141</v>
      </c>
      <c r="I125" s="1" t="s">
        <v>95</v>
      </c>
      <c r="J125" s="1" t="s">
        <v>48</v>
      </c>
      <c r="K125" s="1" t="s">
        <v>142</v>
      </c>
      <c r="L125" s="1" t="s">
        <v>123</v>
      </c>
      <c r="M125" s="1" t="s">
        <v>142</v>
      </c>
      <c r="N125" s="1" t="s">
        <v>126</v>
      </c>
      <c r="O125" s="1" t="s">
        <v>128</v>
      </c>
      <c r="P125" s="1" t="s">
        <v>130</v>
      </c>
      <c r="Q125" s="1" t="s">
        <v>86</v>
      </c>
      <c r="R125" s="1" t="s">
        <v>50</v>
      </c>
      <c r="S125" s="1" t="s">
        <v>656</v>
      </c>
      <c r="T125" s="1" t="s">
        <v>34</v>
      </c>
      <c r="U125" s="1" t="s">
        <v>44</v>
      </c>
      <c r="V125" s="1" t="s">
        <v>34</v>
      </c>
    </row>
    <row r="126" spans="1:22" x14ac:dyDescent="0.25">
      <c r="A126" s="1" t="s">
        <v>29</v>
      </c>
      <c r="B126" s="1" t="s">
        <v>456</v>
      </c>
      <c r="C126" s="1" t="s">
        <v>104</v>
      </c>
      <c r="D126" s="1" t="s">
        <v>105</v>
      </c>
      <c r="E126" s="1" t="s">
        <v>330</v>
      </c>
      <c r="F126" s="1" t="s">
        <v>457</v>
      </c>
      <c r="G126" s="1" t="s">
        <v>29</v>
      </c>
      <c r="H126" s="1" t="s">
        <v>141</v>
      </c>
      <c r="I126" s="1" t="s">
        <v>95</v>
      </c>
      <c r="J126" s="1" t="s">
        <v>48</v>
      </c>
      <c r="K126" s="1" t="s">
        <v>142</v>
      </c>
      <c r="L126" s="1" t="s">
        <v>123</v>
      </c>
      <c r="M126" s="1" t="s">
        <v>142</v>
      </c>
      <c r="N126" s="1" t="s">
        <v>126</v>
      </c>
      <c r="O126" s="1" t="s">
        <v>128</v>
      </c>
      <c r="P126" s="1" t="s">
        <v>130</v>
      </c>
      <c r="Q126" s="1" t="s">
        <v>86</v>
      </c>
      <c r="R126" s="1" t="s">
        <v>50</v>
      </c>
      <c r="S126" s="1" t="s">
        <v>656</v>
      </c>
      <c r="T126" s="1" t="s">
        <v>34</v>
      </c>
      <c r="U126" s="1" t="s">
        <v>44</v>
      </c>
      <c r="V126" s="1" t="s">
        <v>34</v>
      </c>
    </row>
    <row r="127" spans="1:22" x14ac:dyDescent="0.25">
      <c r="A127" s="1" t="s">
        <v>29</v>
      </c>
      <c r="B127" s="1" t="s">
        <v>458</v>
      </c>
      <c r="C127" s="1" t="s">
        <v>104</v>
      </c>
      <c r="D127" s="1" t="s">
        <v>105</v>
      </c>
      <c r="E127" s="1" t="s">
        <v>333</v>
      </c>
      <c r="F127" s="1" t="s">
        <v>459</v>
      </c>
      <c r="G127" s="1" t="s">
        <v>29</v>
      </c>
      <c r="H127" s="1" t="s">
        <v>141</v>
      </c>
      <c r="I127" s="1" t="s">
        <v>95</v>
      </c>
      <c r="J127" s="1" t="s">
        <v>48</v>
      </c>
      <c r="K127" s="1" t="s">
        <v>142</v>
      </c>
      <c r="L127" s="1" t="s">
        <v>123</v>
      </c>
      <c r="M127" s="1" t="s">
        <v>142</v>
      </c>
      <c r="N127" s="1" t="s">
        <v>126</v>
      </c>
      <c r="O127" s="1" t="s">
        <v>128</v>
      </c>
      <c r="P127" s="1" t="s">
        <v>130</v>
      </c>
      <c r="Q127" s="1" t="s">
        <v>86</v>
      </c>
      <c r="R127" s="1" t="s">
        <v>50</v>
      </c>
      <c r="S127" s="1" t="s">
        <v>656</v>
      </c>
      <c r="T127" s="1" t="s">
        <v>34</v>
      </c>
      <c r="U127" s="1" t="s">
        <v>44</v>
      </c>
      <c r="V127" s="1" t="s">
        <v>34</v>
      </c>
    </row>
    <row r="128" spans="1:22" x14ac:dyDescent="0.25">
      <c r="A128" s="1" t="s">
        <v>29</v>
      </c>
      <c r="B128" s="1" t="s">
        <v>460</v>
      </c>
      <c r="C128" s="1" t="s">
        <v>104</v>
      </c>
      <c r="D128" s="1" t="s">
        <v>105</v>
      </c>
      <c r="E128" s="1" t="s">
        <v>336</v>
      </c>
      <c r="F128" s="1" t="s">
        <v>461</v>
      </c>
      <c r="G128" s="1" t="s">
        <v>29</v>
      </c>
      <c r="H128" s="1" t="s">
        <v>141</v>
      </c>
      <c r="I128" s="1" t="s">
        <v>95</v>
      </c>
      <c r="J128" s="1" t="s">
        <v>48</v>
      </c>
      <c r="K128" s="1" t="s">
        <v>142</v>
      </c>
      <c r="L128" s="1" t="s">
        <v>123</v>
      </c>
      <c r="M128" s="1" t="s">
        <v>142</v>
      </c>
      <c r="N128" s="1" t="s">
        <v>126</v>
      </c>
      <c r="O128" s="1" t="s">
        <v>128</v>
      </c>
      <c r="P128" s="1" t="s">
        <v>130</v>
      </c>
      <c r="Q128" s="1" t="s">
        <v>86</v>
      </c>
      <c r="R128" s="1" t="s">
        <v>50</v>
      </c>
      <c r="S128" s="1" t="s">
        <v>656</v>
      </c>
      <c r="T128" s="1" t="s">
        <v>34</v>
      </c>
      <c r="U128" s="1" t="s">
        <v>44</v>
      </c>
      <c r="V128" s="1" t="s">
        <v>34</v>
      </c>
    </row>
    <row r="129" spans="1:22" x14ac:dyDescent="0.25">
      <c r="A129" s="1" t="s">
        <v>29</v>
      </c>
      <c r="B129" s="1" t="s">
        <v>462</v>
      </c>
      <c r="C129" s="1" t="s">
        <v>104</v>
      </c>
      <c r="D129" s="1" t="s">
        <v>105</v>
      </c>
      <c r="E129" s="1" t="s">
        <v>339</v>
      </c>
      <c r="F129" s="1" t="s">
        <v>463</v>
      </c>
      <c r="G129" s="1" t="s">
        <v>29</v>
      </c>
      <c r="H129" s="1" t="s">
        <v>141</v>
      </c>
      <c r="I129" s="1" t="s">
        <v>95</v>
      </c>
      <c r="J129" s="1" t="s">
        <v>48</v>
      </c>
      <c r="K129" s="1" t="s">
        <v>142</v>
      </c>
      <c r="L129" s="1" t="s">
        <v>123</v>
      </c>
      <c r="M129" s="1" t="s">
        <v>142</v>
      </c>
      <c r="N129" s="1" t="s">
        <v>126</v>
      </c>
      <c r="O129" s="1" t="s">
        <v>128</v>
      </c>
      <c r="P129" s="1" t="s">
        <v>130</v>
      </c>
      <c r="Q129" s="1" t="s">
        <v>86</v>
      </c>
      <c r="R129" s="1" t="s">
        <v>50</v>
      </c>
      <c r="S129" s="1" t="s">
        <v>656</v>
      </c>
      <c r="T129" s="1" t="s">
        <v>34</v>
      </c>
      <c r="U129" s="1" t="s">
        <v>44</v>
      </c>
      <c r="V129" s="1" t="s">
        <v>34</v>
      </c>
    </row>
    <row r="130" spans="1:22" x14ac:dyDescent="0.25">
      <c r="A130" s="1" t="s">
        <v>29</v>
      </c>
      <c r="B130" s="1" t="s">
        <v>464</v>
      </c>
      <c r="C130" s="1" t="s">
        <v>104</v>
      </c>
      <c r="D130" s="1" t="s">
        <v>105</v>
      </c>
      <c r="E130" s="1" t="s">
        <v>342</v>
      </c>
      <c r="F130" s="1" t="s">
        <v>465</v>
      </c>
      <c r="G130" s="1" t="s">
        <v>29</v>
      </c>
      <c r="H130" s="1" t="s">
        <v>141</v>
      </c>
      <c r="I130" s="1" t="s">
        <v>95</v>
      </c>
      <c r="J130" s="1" t="s">
        <v>48</v>
      </c>
      <c r="K130" s="1" t="s">
        <v>142</v>
      </c>
      <c r="L130" s="1" t="s">
        <v>123</v>
      </c>
      <c r="M130" s="1" t="s">
        <v>142</v>
      </c>
      <c r="N130" s="1" t="s">
        <v>126</v>
      </c>
      <c r="O130" s="1" t="s">
        <v>128</v>
      </c>
      <c r="P130" s="1" t="s">
        <v>130</v>
      </c>
      <c r="Q130" s="1" t="s">
        <v>86</v>
      </c>
      <c r="R130" s="1" t="s">
        <v>50</v>
      </c>
      <c r="S130" s="1" t="s">
        <v>656</v>
      </c>
      <c r="T130" s="1" t="s">
        <v>34</v>
      </c>
      <c r="U130" s="1" t="s">
        <v>44</v>
      </c>
      <c r="V130" s="1" t="s">
        <v>34</v>
      </c>
    </row>
    <row r="131" spans="1:22" x14ac:dyDescent="0.25">
      <c r="A131" s="1" t="s">
        <v>29</v>
      </c>
      <c r="B131" s="1" t="s">
        <v>466</v>
      </c>
      <c r="C131" s="1" t="s">
        <v>104</v>
      </c>
      <c r="D131" s="1" t="s">
        <v>105</v>
      </c>
      <c r="E131" s="1" t="s">
        <v>345</v>
      </c>
      <c r="F131" s="1" t="s">
        <v>467</v>
      </c>
      <c r="G131" s="1" t="s">
        <v>29</v>
      </c>
      <c r="H131" s="1" t="s">
        <v>141</v>
      </c>
      <c r="I131" s="1" t="s">
        <v>95</v>
      </c>
      <c r="J131" s="1" t="s">
        <v>48</v>
      </c>
      <c r="K131" s="1" t="s">
        <v>142</v>
      </c>
      <c r="L131" s="1" t="s">
        <v>123</v>
      </c>
      <c r="M131" s="1" t="s">
        <v>142</v>
      </c>
      <c r="N131" s="1" t="s">
        <v>126</v>
      </c>
      <c r="O131" s="1" t="s">
        <v>128</v>
      </c>
      <c r="P131" s="1" t="s">
        <v>130</v>
      </c>
      <c r="Q131" s="1" t="s">
        <v>86</v>
      </c>
      <c r="R131" s="1" t="s">
        <v>50</v>
      </c>
      <c r="S131" s="1" t="s">
        <v>656</v>
      </c>
      <c r="T131" s="1" t="s">
        <v>34</v>
      </c>
      <c r="U131" s="1" t="s">
        <v>44</v>
      </c>
      <c r="V131" s="1" t="s">
        <v>34</v>
      </c>
    </row>
    <row r="132" spans="1:22" x14ac:dyDescent="0.25">
      <c r="A132" s="1" t="s">
        <v>29</v>
      </c>
      <c r="B132" s="1" t="s">
        <v>468</v>
      </c>
      <c r="C132" s="1" t="s">
        <v>104</v>
      </c>
      <c r="D132" s="1" t="s">
        <v>105</v>
      </c>
      <c r="E132" s="1" t="s">
        <v>348</v>
      </c>
      <c r="F132" s="1" t="s">
        <v>469</v>
      </c>
      <c r="G132" s="1" t="s">
        <v>29</v>
      </c>
      <c r="H132" s="1" t="s">
        <v>141</v>
      </c>
      <c r="I132" s="1" t="s">
        <v>95</v>
      </c>
      <c r="J132" s="1" t="s">
        <v>48</v>
      </c>
      <c r="K132" s="1" t="s">
        <v>142</v>
      </c>
      <c r="L132" s="1" t="s">
        <v>123</v>
      </c>
      <c r="M132" s="1" t="s">
        <v>142</v>
      </c>
      <c r="N132" s="1" t="s">
        <v>126</v>
      </c>
      <c r="O132" s="1" t="s">
        <v>128</v>
      </c>
      <c r="P132" s="1" t="s">
        <v>130</v>
      </c>
      <c r="Q132" s="1" t="s">
        <v>86</v>
      </c>
      <c r="R132" s="1" t="s">
        <v>50</v>
      </c>
      <c r="S132" s="1" t="s">
        <v>656</v>
      </c>
      <c r="T132" s="1" t="s">
        <v>34</v>
      </c>
      <c r="U132" s="1" t="s">
        <v>44</v>
      </c>
      <c r="V132" s="1" t="s">
        <v>34</v>
      </c>
    </row>
    <row r="133" spans="1:22" x14ac:dyDescent="0.25">
      <c r="A133" s="1" t="s">
        <v>29</v>
      </c>
      <c r="B133" s="1" t="s">
        <v>470</v>
      </c>
      <c r="C133" s="1" t="s">
        <v>104</v>
      </c>
      <c r="D133" s="1" t="s">
        <v>105</v>
      </c>
      <c r="E133" s="1" t="s">
        <v>351</v>
      </c>
      <c r="F133" s="1" t="s">
        <v>471</v>
      </c>
      <c r="G133" s="1" t="s">
        <v>29</v>
      </c>
      <c r="H133" s="1" t="s">
        <v>141</v>
      </c>
      <c r="I133" s="1" t="s">
        <v>95</v>
      </c>
      <c r="J133" s="1" t="s">
        <v>48</v>
      </c>
      <c r="K133" s="1" t="s">
        <v>142</v>
      </c>
      <c r="L133" s="1" t="s">
        <v>123</v>
      </c>
      <c r="M133" s="1" t="s">
        <v>142</v>
      </c>
      <c r="N133" s="1" t="s">
        <v>126</v>
      </c>
      <c r="O133" s="1" t="s">
        <v>128</v>
      </c>
      <c r="P133" s="1" t="s">
        <v>130</v>
      </c>
      <c r="Q133" s="1" t="s">
        <v>86</v>
      </c>
      <c r="R133" s="1" t="s">
        <v>50</v>
      </c>
      <c r="S133" s="1" t="s">
        <v>656</v>
      </c>
      <c r="T133" s="1" t="s">
        <v>34</v>
      </c>
      <c r="U133" s="1" t="s">
        <v>44</v>
      </c>
      <c r="V133" s="1" t="s">
        <v>34</v>
      </c>
    </row>
    <row r="134" spans="1:22" x14ac:dyDescent="0.25">
      <c r="A134" s="1" t="s">
        <v>29</v>
      </c>
      <c r="B134" s="1" t="s">
        <v>472</v>
      </c>
      <c r="C134" s="1" t="s">
        <v>104</v>
      </c>
      <c r="D134" s="1" t="s">
        <v>105</v>
      </c>
      <c r="E134" s="1" t="s">
        <v>354</v>
      </c>
      <c r="F134" s="1" t="s">
        <v>473</v>
      </c>
      <c r="G134" s="1" t="s">
        <v>29</v>
      </c>
      <c r="H134" s="1" t="s">
        <v>141</v>
      </c>
      <c r="I134" s="1" t="s">
        <v>95</v>
      </c>
      <c r="J134" s="1" t="s">
        <v>48</v>
      </c>
      <c r="K134" s="1" t="s">
        <v>142</v>
      </c>
      <c r="L134" s="1" t="s">
        <v>123</v>
      </c>
      <c r="M134" s="1" t="s">
        <v>142</v>
      </c>
      <c r="N134" s="1" t="s">
        <v>126</v>
      </c>
      <c r="O134" s="1" t="s">
        <v>128</v>
      </c>
      <c r="P134" s="1" t="s">
        <v>130</v>
      </c>
      <c r="Q134" s="1" t="s">
        <v>86</v>
      </c>
      <c r="R134" s="1" t="s">
        <v>50</v>
      </c>
      <c r="S134" s="1" t="s">
        <v>656</v>
      </c>
      <c r="T134" s="1" t="s">
        <v>34</v>
      </c>
      <c r="U134" s="1" t="s">
        <v>44</v>
      </c>
      <c r="V134" s="1" t="s">
        <v>34</v>
      </c>
    </row>
    <row r="135" spans="1:22" x14ac:dyDescent="0.25">
      <c r="A135" s="1" t="s">
        <v>29</v>
      </c>
      <c r="B135" s="1" t="s">
        <v>474</v>
      </c>
      <c r="C135" s="1" t="s">
        <v>104</v>
      </c>
      <c r="D135" s="1" t="s">
        <v>105</v>
      </c>
      <c r="E135" s="1" t="s">
        <v>357</v>
      </c>
      <c r="F135" s="1" t="s">
        <v>475</v>
      </c>
      <c r="G135" s="1" t="s">
        <v>29</v>
      </c>
      <c r="H135" s="1" t="s">
        <v>141</v>
      </c>
      <c r="I135" s="1" t="s">
        <v>95</v>
      </c>
      <c r="J135" s="1" t="s">
        <v>48</v>
      </c>
      <c r="K135" s="1" t="s">
        <v>142</v>
      </c>
      <c r="L135" s="1" t="s">
        <v>123</v>
      </c>
      <c r="M135" s="1" t="s">
        <v>142</v>
      </c>
      <c r="N135" s="1" t="s">
        <v>126</v>
      </c>
      <c r="O135" s="1" t="s">
        <v>128</v>
      </c>
      <c r="P135" s="1" t="s">
        <v>130</v>
      </c>
      <c r="Q135" s="1" t="s">
        <v>86</v>
      </c>
      <c r="R135" s="1" t="s">
        <v>50</v>
      </c>
      <c r="S135" s="1" t="s">
        <v>656</v>
      </c>
      <c r="T135" s="1" t="s">
        <v>34</v>
      </c>
      <c r="U135" s="1" t="s">
        <v>44</v>
      </c>
      <c r="V135" s="1" t="s">
        <v>34</v>
      </c>
    </row>
    <row r="136" spans="1:22" x14ac:dyDescent="0.25">
      <c r="A136" s="1" t="s">
        <v>29</v>
      </c>
      <c r="B136" s="1" t="s">
        <v>476</v>
      </c>
      <c r="C136" s="1" t="s">
        <v>104</v>
      </c>
      <c r="D136" s="1" t="s">
        <v>105</v>
      </c>
      <c r="E136" s="1" t="s">
        <v>360</v>
      </c>
      <c r="F136" s="1" t="s">
        <v>477</v>
      </c>
      <c r="G136" s="1" t="s">
        <v>29</v>
      </c>
      <c r="H136" s="1" t="s">
        <v>141</v>
      </c>
      <c r="I136" s="1" t="s">
        <v>95</v>
      </c>
      <c r="J136" s="1" t="s">
        <v>48</v>
      </c>
      <c r="K136" s="1" t="s">
        <v>142</v>
      </c>
      <c r="L136" s="1" t="s">
        <v>123</v>
      </c>
      <c r="M136" s="1" t="s">
        <v>142</v>
      </c>
      <c r="N136" s="1" t="s">
        <v>126</v>
      </c>
      <c r="O136" s="1" t="s">
        <v>128</v>
      </c>
      <c r="P136" s="1" t="s">
        <v>130</v>
      </c>
      <c r="Q136" s="1" t="s">
        <v>86</v>
      </c>
      <c r="R136" s="1" t="s">
        <v>50</v>
      </c>
      <c r="S136" s="1" t="s">
        <v>656</v>
      </c>
      <c r="T136" s="1" t="s">
        <v>34</v>
      </c>
      <c r="U136" s="1" t="s">
        <v>44</v>
      </c>
      <c r="V136" s="1" t="s">
        <v>34</v>
      </c>
    </row>
    <row r="137" spans="1:22" x14ac:dyDescent="0.25">
      <c r="A137" s="1" t="s">
        <v>29</v>
      </c>
      <c r="B137" s="1" t="s">
        <v>478</v>
      </c>
      <c r="C137" s="1" t="s">
        <v>104</v>
      </c>
      <c r="D137" s="1" t="s">
        <v>105</v>
      </c>
      <c r="E137" s="1" t="s">
        <v>363</v>
      </c>
      <c r="F137" s="1" t="s">
        <v>479</v>
      </c>
      <c r="G137" s="1" t="s">
        <v>29</v>
      </c>
      <c r="H137" s="1" t="s">
        <v>141</v>
      </c>
      <c r="I137" s="1" t="s">
        <v>95</v>
      </c>
      <c r="J137" s="1" t="s">
        <v>48</v>
      </c>
      <c r="K137" s="1" t="s">
        <v>142</v>
      </c>
      <c r="L137" s="1" t="s">
        <v>123</v>
      </c>
      <c r="M137" s="1" t="s">
        <v>142</v>
      </c>
      <c r="N137" s="1" t="s">
        <v>126</v>
      </c>
      <c r="O137" s="1" t="s">
        <v>128</v>
      </c>
      <c r="P137" s="1" t="s">
        <v>130</v>
      </c>
      <c r="Q137" s="1" t="s">
        <v>86</v>
      </c>
      <c r="R137" s="1" t="s">
        <v>50</v>
      </c>
      <c r="S137" s="1" t="s">
        <v>656</v>
      </c>
      <c r="T137" s="1" t="s">
        <v>34</v>
      </c>
      <c r="U137" s="1" t="s">
        <v>44</v>
      </c>
      <c r="V137" s="1" t="s">
        <v>34</v>
      </c>
    </row>
    <row r="138" spans="1:22" x14ac:dyDescent="0.25">
      <c r="A138" s="1" t="s">
        <v>29</v>
      </c>
      <c r="B138" s="1" t="s">
        <v>480</v>
      </c>
      <c r="C138" s="1" t="s">
        <v>104</v>
      </c>
      <c r="D138" s="1" t="s">
        <v>105</v>
      </c>
      <c r="E138" s="1" t="s">
        <v>366</v>
      </c>
      <c r="F138" s="1" t="s">
        <v>481</v>
      </c>
      <c r="G138" s="1" t="s">
        <v>29</v>
      </c>
      <c r="H138" s="1" t="s">
        <v>141</v>
      </c>
      <c r="I138" s="1" t="s">
        <v>95</v>
      </c>
      <c r="J138" s="1" t="s">
        <v>48</v>
      </c>
      <c r="K138" s="1" t="s">
        <v>142</v>
      </c>
      <c r="L138" s="1" t="s">
        <v>123</v>
      </c>
      <c r="M138" s="1" t="s">
        <v>142</v>
      </c>
      <c r="N138" s="1" t="s">
        <v>126</v>
      </c>
      <c r="O138" s="1" t="s">
        <v>128</v>
      </c>
      <c r="P138" s="1" t="s">
        <v>130</v>
      </c>
      <c r="Q138" s="1" t="s">
        <v>86</v>
      </c>
      <c r="R138" s="1" t="s">
        <v>50</v>
      </c>
      <c r="S138" s="1" t="s">
        <v>656</v>
      </c>
      <c r="T138" s="1" t="s">
        <v>34</v>
      </c>
      <c r="U138" s="1" t="s">
        <v>44</v>
      </c>
      <c r="V138" s="1" t="s">
        <v>34</v>
      </c>
    </row>
    <row r="139" spans="1:22" x14ac:dyDescent="0.25">
      <c r="A139" s="1" t="s">
        <v>29</v>
      </c>
      <c r="B139" s="1" t="s">
        <v>482</v>
      </c>
      <c r="C139" s="1" t="s">
        <v>104</v>
      </c>
      <c r="D139" s="1" t="s">
        <v>105</v>
      </c>
      <c r="E139" s="1" t="s">
        <v>369</v>
      </c>
      <c r="F139" s="1" t="s">
        <v>483</v>
      </c>
      <c r="G139" s="1" t="s">
        <v>29</v>
      </c>
      <c r="H139" s="1" t="s">
        <v>141</v>
      </c>
      <c r="I139" s="1" t="s">
        <v>95</v>
      </c>
      <c r="J139" s="1" t="s">
        <v>48</v>
      </c>
      <c r="K139" s="1" t="s">
        <v>142</v>
      </c>
      <c r="L139" s="1" t="s">
        <v>123</v>
      </c>
      <c r="M139" s="1" t="s">
        <v>142</v>
      </c>
      <c r="N139" s="1" t="s">
        <v>126</v>
      </c>
      <c r="O139" s="1" t="s">
        <v>128</v>
      </c>
      <c r="P139" s="1" t="s">
        <v>130</v>
      </c>
      <c r="Q139" s="1" t="s">
        <v>86</v>
      </c>
      <c r="R139" s="1" t="s">
        <v>50</v>
      </c>
      <c r="S139" s="1" t="s">
        <v>656</v>
      </c>
      <c r="T139" s="1" t="s">
        <v>34</v>
      </c>
      <c r="U139" s="1" t="s">
        <v>44</v>
      </c>
      <c r="V139" s="1" t="s">
        <v>34</v>
      </c>
    </row>
    <row r="140" spans="1:22" x14ac:dyDescent="0.25">
      <c r="A140" s="1" t="s">
        <v>29</v>
      </c>
      <c r="B140" s="1" t="s">
        <v>484</v>
      </c>
      <c r="C140" s="1" t="s">
        <v>104</v>
      </c>
      <c r="D140" s="1" t="s">
        <v>105</v>
      </c>
      <c r="E140" s="1" t="s">
        <v>372</v>
      </c>
      <c r="F140" s="1" t="s">
        <v>485</v>
      </c>
      <c r="G140" s="1" t="s">
        <v>29</v>
      </c>
      <c r="H140" s="1" t="s">
        <v>141</v>
      </c>
      <c r="I140" s="1" t="s">
        <v>95</v>
      </c>
      <c r="J140" s="1" t="s">
        <v>48</v>
      </c>
      <c r="K140" s="1" t="s">
        <v>142</v>
      </c>
      <c r="L140" s="1" t="s">
        <v>123</v>
      </c>
      <c r="M140" s="1" t="s">
        <v>142</v>
      </c>
      <c r="N140" s="1" t="s">
        <v>126</v>
      </c>
      <c r="O140" s="1" t="s">
        <v>128</v>
      </c>
      <c r="P140" s="1" t="s">
        <v>130</v>
      </c>
      <c r="Q140" s="1" t="s">
        <v>86</v>
      </c>
      <c r="R140" s="1" t="s">
        <v>50</v>
      </c>
      <c r="S140" s="1" t="s">
        <v>656</v>
      </c>
      <c r="T140" s="1" t="s">
        <v>34</v>
      </c>
      <c r="U140" s="1" t="s">
        <v>44</v>
      </c>
      <c r="V140" s="1" t="s">
        <v>34</v>
      </c>
    </row>
    <row r="141" spans="1:22" x14ac:dyDescent="0.25">
      <c r="A141" s="1" t="s">
        <v>29</v>
      </c>
      <c r="B141" s="1" t="s">
        <v>486</v>
      </c>
      <c r="C141" s="1" t="s">
        <v>104</v>
      </c>
      <c r="D141" s="1" t="s">
        <v>105</v>
      </c>
      <c r="E141" s="1" t="s">
        <v>375</v>
      </c>
      <c r="F141" s="1" t="s">
        <v>487</v>
      </c>
      <c r="G141" s="1" t="s">
        <v>29</v>
      </c>
      <c r="H141" s="1" t="s">
        <v>141</v>
      </c>
      <c r="I141" s="1" t="s">
        <v>95</v>
      </c>
      <c r="J141" s="1" t="s">
        <v>48</v>
      </c>
      <c r="K141" s="1" t="s">
        <v>142</v>
      </c>
      <c r="L141" s="1" t="s">
        <v>123</v>
      </c>
      <c r="M141" s="1" t="s">
        <v>142</v>
      </c>
      <c r="N141" s="1" t="s">
        <v>126</v>
      </c>
      <c r="O141" s="1" t="s">
        <v>128</v>
      </c>
      <c r="P141" s="1" t="s">
        <v>130</v>
      </c>
      <c r="Q141" s="1" t="s">
        <v>86</v>
      </c>
      <c r="R141" s="1" t="s">
        <v>50</v>
      </c>
      <c r="S141" s="1" t="s">
        <v>656</v>
      </c>
      <c r="T141" s="1" t="s">
        <v>34</v>
      </c>
      <c r="U141" s="1" t="s">
        <v>44</v>
      </c>
      <c r="V141" s="1" t="s">
        <v>34</v>
      </c>
    </row>
    <row r="142" spans="1:22" x14ac:dyDescent="0.25">
      <c r="A142" s="1" t="s">
        <v>29</v>
      </c>
      <c r="B142" s="1" t="s">
        <v>488</v>
      </c>
      <c r="C142" s="1" t="s">
        <v>104</v>
      </c>
      <c r="D142" s="1" t="s">
        <v>105</v>
      </c>
      <c r="E142" s="1" t="s">
        <v>378</v>
      </c>
      <c r="F142" s="1" t="s">
        <v>489</v>
      </c>
      <c r="G142" s="1" t="s">
        <v>29</v>
      </c>
      <c r="H142" s="1" t="s">
        <v>141</v>
      </c>
      <c r="I142" s="1" t="s">
        <v>95</v>
      </c>
      <c r="J142" s="1" t="s">
        <v>48</v>
      </c>
      <c r="K142" s="1" t="s">
        <v>142</v>
      </c>
      <c r="L142" s="1" t="s">
        <v>123</v>
      </c>
      <c r="M142" s="1" t="s">
        <v>142</v>
      </c>
      <c r="N142" s="1" t="s">
        <v>126</v>
      </c>
      <c r="O142" s="1" t="s">
        <v>128</v>
      </c>
      <c r="P142" s="1" t="s">
        <v>130</v>
      </c>
      <c r="Q142" s="1" t="s">
        <v>86</v>
      </c>
      <c r="R142" s="1" t="s">
        <v>50</v>
      </c>
      <c r="S142" s="1" t="s">
        <v>656</v>
      </c>
      <c r="T142" s="1" t="s">
        <v>34</v>
      </c>
      <c r="U142" s="1" t="s">
        <v>44</v>
      </c>
      <c r="V142" s="1" t="s">
        <v>34</v>
      </c>
    </row>
    <row r="143" spans="1:22" x14ac:dyDescent="0.25">
      <c r="A143" s="1" t="s">
        <v>29</v>
      </c>
      <c r="B143" s="1" t="s">
        <v>490</v>
      </c>
      <c r="C143" s="1" t="s">
        <v>104</v>
      </c>
      <c r="D143" s="1" t="s">
        <v>105</v>
      </c>
      <c r="E143" s="1" t="s">
        <v>491</v>
      </c>
      <c r="F143" s="1" t="s">
        <v>492</v>
      </c>
      <c r="G143" s="1" t="s">
        <v>29</v>
      </c>
      <c r="H143" s="1" t="s">
        <v>141</v>
      </c>
      <c r="I143" s="1" t="s">
        <v>95</v>
      </c>
      <c r="J143" s="1" t="s">
        <v>48</v>
      </c>
      <c r="K143" s="1" t="s">
        <v>142</v>
      </c>
      <c r="L143" s="1" t="s">
        <v>123</v>
      </c>
      <c r="M143" s="1" t="s">
        <v>142</v>
      </c>
      <c r="N143" s="1" t="s">
        <v>126</v>
      </c>
      <c r="O143" s="1" t="s">
        <v>128</v>
      </c>
      <c r="P143" s="1" t="s">
        <v>130</v>
      </c>
      <c r="Q143" s="1" t="s">
        <v>86</v>
      </c>
      <c r="R143" s="1" t="s">
        <v>50</v>
      </c>
      <c r="S143" s="1" t="s">
        <v>656</v>
      </c>
      <c r="T143" s="1" t="s">
        <v>34</v>
      </c>
      <c r="U143" s="1" t="s">
        <v>44</v>
      </c>
      <c r="V143" s="1" t="s">
        <v>34</v>
      </c>
    </row>
    <row r="144" spans="1:22" x14ac:dyDescent="0.25">
      <c r="A144" s="1" t="s">
        <v>29</v>
      </c>
      <c r="B144" s="1" t="s">
        <v>493</v>
      </c>
      <c r="C144" s="1" t="s">
        <v>104</v>
      </c>
      <c r="D144" s="1" t="s">
        <v>105</v>
      </c>
      <c r="E144" s="1" t="s">
        <v>494</v>
      </c>
      <c r="F144" s="1" t="s">
        <v>495</v>
      </c>
      <c r="G144" s="1" t="s">
        <v>29</v>
      </c>
      <c r="H144" s="1" t="s">
        <v>141</v>
      </c>
      <c r="I144" s="1" t="s">
        <v>95</v>
      </c>
      <c r="J144" s="1" t="s">
        <v>48</v>
      </c>
      <c r="K144" s="1" t="s">
        <v>142</v>
      </c>
      <c r="L144" s="1" t="s">
        <v>123</v>
      </c>
      <c r="M144" s="1" t="s">
        <v>142</v>
      </c>
      <c r="N144" s="1" t="s">
        <v>126</v>
      </c>
      <c r="O144" s="1" t="s">
        <v>128</v>
      </c>
      <c r="P144" s="1" t="s">
        <v>130</v>
      </c>
      <c r="Q144" s="1" t="s">
        <v>86</v>
      </c>
      <c r="R144" s="1" t="s">
        <v>50</v>
      </c>
      <c r="S144" s="1" t="s">
        <v>656</v>
      </c>
      <c r="T144" s="1" t="s">
        <v>34</v>
      </c>
      <c r="U144" s="1" t="s">
        <v>44</v>
      </c>
      <c r="V144" s="1" t="s">
        <v>34</v>
      </c>
    </row>
    <row r="145" spans="1:22" x14ac:dyDescent="0.25">
      <c r="A145" s="1" t="s">
        <v>29</v>
      </c>
      <c r="B145" s="1" t="s">
        <v>496</v>
      </c>
      <c r="C145" s="1" t="s">
        <v>104</v>
      </c>
      <c r="D145" s="1" t="s">
        <v>105</v>
      </c>
      <c r="E145" s="1" t="s">
        <v>497</v>
      </c>
      <c r="F145" s="1" t="s">
        <v>498</v>
      </c>
      <c r="G145" s="1" t="s">
        <v>29</v>
      </c>
      <c r="H145" s="1" t="s">
        <v>141</v>
      </c>
      <c r="I145" s="1" t="s">
        <v>95</v>
      </c>
      <c r="J145" s="1" t="s">
        <v>48</v>
      </c>
      <c r="K145" s="1" t="s">
        <v>142</v>
      </c>
      <c r="L145" s="1" t="s">
        <v>123</v>
      </c>
      <c r="M145" s="1" t="s">
        <v>142</v>
      </c>
      <c r="N145" s="1" t="s">
        <v>126</v>
      </c>
      <c r="O145" s="1" t="s">
        <v>128</v>
      </c>
      <c r="P145" s="1" t="s">
        <v>130</v>
      </c>
      <c r="Q145" s="1" t="s">
        <v>86</v>
      </c>
      <c r="R145" s="1" t="s">
        <v>50</v>
      </c>
      <c r="S145" s="1" t="s">
        <v>656</v>
      </c>
      <c r="T145" s="1" t="s">
        <v>34</v>
      </c>
      <c r="U145" s="1" t="s">
        <v>44</v>
      </c>
      <c r="V145" s="1" t="s">
        <v>34</v>
      </c>
    </row>
    <row r="146" spans="1:22" x14ac:dyDescent="0.25">
      <c r="A146" s="1" t="s">
        <v>29</v>
      </c>
      <c r="B146" s="1" t="s">
        <v>499</v>
      </c>
      <c r="C146" s="1" t="s">
        <v>104</v>
      </c>
      <c r="D146" s="1" t="s">
        <v>105</v>
      </c>
      <c r="E146" s="1" t="s">
        <v>500</v>
      </c>
      <c r="F146" s="1" t="s">
        <v>501</v>
      </c>
      <c r="G146" s="1" t="s">
        <v>29</v>
      </c>
      <c r="H146" s="1" t="s">
        <v>141</v>
      </c>
      <c r="I146" s="1" t="s">
        <v>95</v>
      </c>
      <c r="J146" s="1" t="s">
        <v>48</v>
      </c>
      <c r="K146" s="1" t="s">
        <v>142</v>
      </c>
      <c r="L146" s="1" t="s">
        <v>123</v>
      </c>
      <c r="M146" s="1" t="s">
        <v>142</v>
      </c>
      <c r="N146" s="1" t="s">
        <v>126</v>
      </c>
      <c r="O146" s="1" t="s">
        <v>128</v>
      </c>
      <c r="P146" s="1" t="s">
        <v>130</v>
      </c>
      <c r="Q146" s="1" t="s">
        <v>86</v>
      </c>
      <c r="R146" s="1" t="s">
        <v>50</v>
      </c>
      <c r="S146" s="1" t="s">
        <v>656</v>
      </c>
      <c r="T146" s="1" t="s">
        <v>34</v>
      </c>
      <c r="U146" s="1" t="s">
        <v>44</v>
      </c>
      <c r="V146" s="1" t="s">
        <v>34</v>
      </c>
    </row>
    <row r="147" spans="1:22" x14ac:dyDescent="0.25">
      <c r="A147" s="1" t="s">
        <v>29</v>
      </c>
      <c r="B147" s="1" t="s">
        <v>502</v>
      </c>
      <c r="C147" s="1" t="s">
        <v>104</v>
      </c>
      <c r="D147" s="1" t="s">
        <v>105</v>
      </c>
      <c r="E147" s="1" t="s">
        <v>503</v>
      </c>
      <c r="F147" s="1" t="s">
        <v>504</v>
      </c>
      <c r="G147" s="1" t="s">
        <v>29</v>
      </c>
      <c r="H147" s="1" t="s">
        <v>141</v>
      </c>
      <c r="I147" s="1" t="s">
        <v>95</v>
      </c>
      <c r="J147" s="1" t="s">
        <v>48</v>
      </c>
      <c r="K147" s="1" t="s">
        <v>142</v>
      </c>
      <c r="L147" s="1" t="s">
        <v>123</v>
      </c>
      <c r="M147" s="1" t="s">
        <v>142</v>
      </c>
      <c r="N147" s="1" t="s">
        <v>126</v>
      </c>
      <c r="O147" s="1" t="s">
        <v>128</v>
      </c>
      <c r="P147" s="1" t="s">
        <v>130</v>
      </c>
      <c r="Q147" s="1" t="s">
        <v>86</v>
      </c>
      <c r="R147" s="1" t="s">
        <v>50</v>
      </c>
      <c r="S147" s="1" t="s">
        <v>656</v>
      </c>
      <c r="T147" s="1" t="s">
        <v>34</v>
      </c>
      <c r="U147" s="1" t="s">
        <v>44</v>
      </c>
      <c r="V147" s="1" t="s">
        <v>34</v>
      </c>
    </row>
    <row r="148" spans="1:22" x14ac:dyDescent="0.25">
      <c r="A148" s="1" t="s">
        <v>29</v>
      </c>
      <c r="B148" s="1" t="s">
        <v>505</v>
      </c>
      <c r="C148" s="1" t="s">
        <v>104</v>
      </c>
      <c r="D148" s="1" t="s">
        <v>105</v>
      </c>
      <c r="E148" s="1" t="s">
        <v>506</v>
      </c>
      <c r="F148" s="1" t="s">
        <v>507</v>
      </c>
      <c r="G148" s="1" t="s">
        <v>29</v>
      </c>
      <c r="H148" s="1" t="s">
        <v>141</v>
      </c>
      <c r="I148" s="1" t="s">
        <v>95</v>
      </c>
      <c r="J148" s="1" t="s">
        <v>48</v>
      </c>
      <c r="K148" s="1" t="s">
        <v>142</v>
      </c>
      <c r="L148" s="1" t="s">
        <v>123</v>
      </c>
      <c r="M148" s="1" t="s">
        <v>142</v>
      </c>
      <c r="N148" s="1" t="s">
        <v>126</v>
      </c>
      <c r="O148" s="1" t="s">
        <v>128</v>
      </c>
      <c r="P148" s="1" t="s">
        <v>130</v>
      </c>
      <c r="Q148" s="1" t="s">
        <v>86</v>
      </c>
      <c r="R148" s="1" t="s">
        <v>50</v>
      </c>
      <c r="S148" s="1" t="s">
        <v>656</v>
      </c>
      <c r="T148" s="1" t="s">
        <v>34</v>
      </c>
      <c r="U148" s="1" t="s">
        <v>44</v>
      </c>
      <c r="V148" s="1" t="s">
        <v>34</v>
      </c>
    </row>
    <row r="149" spans="1:22" x14ac:dyDescent="0.25">
      <c r="A149" s="1" t="s">
        <v>29</v>
      </c>
      <c r="B149" s="1" t="s">
        <v>508</v>
      </c>
      <c r="C149" s="1" t="s">
        <v>104</v>
      </c>
      <c r="D149" s="1" t="s">
        <v>105</v>
      </c>
      <c r="E149" s="1" t="s">
        <v>509</v>
      </c>
      <c r="F149" s="1" t="s">
        <v>510</v>
      </c>
      <c r="G149" s="1" t="s">
        <v>29</v>
      </c>
      <c r="H149" s="1" t="s">
        <v>141</v>
      </c>
      <c r="I149" s="1" t="s">
        <v>95</v>
      </c>
      <c r="J149" s="1" t="s">
        <v>48</v>
      </c>
      <c r="K149" s="1" t="s">
        <v>142</v>
      </c>
      <c r="L149" s="1" t="s">
        <v>123</v>
      </c>
      <c r="M149" s="1" t="s">
        <v>142</v>
      </c>
      <c r="N149" s="1" t="s">
        <v>126</v>
      </c>
      <c r="O149" s="1" t="s">
        <v>128</v>
      </c>
      <c r="P149" s="1" t="s">
        <v>130</v>
      </c>
      <c r="Q149" s="1" t="s">
        <v>86</v>
      </c>
      <c r="R149" s="1" t="s">
        <v>50</v>
      </c>
      <c r="S149" s="1" t="s">
        <v>656</v>
      </c>
      <c r="T149" s="1" t="s">
        <v>34</v>
      </c>
      <c r="U149" s="1" t="s">
        <v>44</v>
      </c>
      <c r="V149" s="1" t="s">
        <v>34</v>
      </c>
    </row>
    <row r="150" spans="1:22" x14ac:dyDescent="0.25">
      <c r="A150" s="1" t="s">
        <v>29</v>
      </c>
      <c r="B150" s="1" t="s">
        <v>511</v>
      </c>
      <c r="C150" s="1" t="s">
        <v>104</v>
      </c>
      <c r="D150" s="1" t="s">
        <v>105</v>
      </c>
      <c r="E150" s="1" t="s">
        <v>512</v>
      </c>
      <c r="F150" s="1" t="s">
        <v>513</v>
      </c>
      <c r="G150" s="1" t="s">
        <v>29</v>
      </c>
      <c r="H150" s="1" t="s">
        <v>141</v>
      </c>
      <c r="I150" s="1" t="s">
        <v>95</v>
      </c>
      <c r="J150" s="1" t="s">
        <v>48</v>
      </c>
      <c r="K150" s="1" t="s">
        <v>142</v>
      </c>
      <c r="L150" s="1" t="s">
        <v>123</v>
      </c>
      <c r="M150" s="1" t="s">
        <v>142</v>
      </c>
      <c r="N150" s="1" t="s">
        <v>126</v>
      </c>
      <c r="O150" s="1" t="s">
        <v>128</v>
      </c>
      <c r="P150" s="1" t="s">
        <v>130</v>
      </c>
      <c r="Q150" s="1" t="s">
        <v>86</v>
      </c>
      <c r="R150" s="1" t="s">
        <v>50</v>
      </c>
      <c r="S150" s="1" t="s">
        <v>656</v>
      </c>
      <c r="T150" s="1" t="s">
        <v>34</v>
      </c>
      <c r="U150" s="1" t="s">
        <v>44</v>
      </c>
      <c r="V150" s="1" t="s">
        <v>34</v>
      </c>
    </row>
    <row r="151" spans="1:22" x14ac:dyDescent="0.25">
      <c r="A151" s="1" t="s">
        <v>29</v>
      </c>
      <c r="B151" s="1" t="s">
        <v>514</v>
      </c>
      <c r="C151" s="1" t="s">
        <v>104</v>
      </c>
      <c r="D151" s="1" t="s">
        <v>105</v>
      </c>
      <c r="E151" s="1" t="s">
        <v>515</v>
      </c>
      <c r="F151" s="1" t="s">
        <v>516</v>
      </c>
      <c r="G151" s="1" t="s">
        <v>29</v>
      </c>
      <c r="H151" s="1" t="s">
        <v>141</v>
      </c>
      <c r="I151" s="1" t="s">
        <v>95</v>
      </c>
      <c r="J151" s="1" t="s">
        <v>48</v>
      </c>
      <c r="K151" s="1" t="s">
        <v>142</v>
      </c>
      <c r="L151" s="1" t="s">
        <v>123</v>
      </c>
      <c r="M151" s="1" t="s">
        <v>142</v>
      </c>
      <c r="N151" s="1" t="s">
        <v>126</v>
      </c>
      <c r="O151" s="1" t="s">
        <v>128</v>
      </c>
      <c r="P151" s="1" t="s">
        <v>130</v>
      </c>
      <c r="Q151" s="1" t="s">
        <v>86</v>
      </c>
      <c r="R151" s="1" t="s">
        <v>50</v>
      </c>
      <c r="S151" s="1" t="s">
        <v>656</v>
      </c>
      <c r="T151" s="1" t="s">
        <v>34</v>
      </c>
      <c r="U151" s="1" t="s">
        <v>44</v>
      </c>
      <c r="V151" s="1" t="s">
        <v>34</v>
      </c>
    </row>
    <row r="152" spans="1:22" x14ac:dyDescent="0.25">
      <c r="A152" s="1" t="s">
        <v>29</v>
      </c>
      <c r="B152" s="1" t="s">
        <v>517</v>
      </c>
      <c r="C152" s="1" t="s">
        <v>104</v>
      </c>
      <c r="D152" s="1" t="s">
        <v>105</v>
      </c>
      <c r="E152" s="1" t="s">
        <v>518</v>
      </c>
      <c r="F152" s="1" t="s">
        <v>519</v>
      </c>
      <c r="G152" s="1" t="s">
        <v>29</v>
      </c>
      <c r="H152" s="1" t="s">
        <v>141</v>
      </c>
      <c r="I152" s="1" t="s">
        <v>95</v>
      </c>
      <c r="J152" s="1" t="s">
        <v>48</v>
      </c>
      <c r="K152" s="1" t="s">
        <v>142</v>
      </c>
      <c r="L152" s="1" t="s">
        <v>123</v>
      </c>
      <c r="M152" s="1" t="s">
        <v>142</v>
      </c>
      <c r="N152" s="1" t="s">
        <v>126</v>
      </c>
      <c r="O152" s="1" t="s">
        <v>128</v>
      </c>
      <c r="P152" s="1" t="s">
        <v>130</v>
      </c>
      <c r="Q152" s="1" t="s">
        <v>86</v>
      </c>
      <c r="R152" s="1" t="s">
        <v>50</v>
      </c>
      <c r="S152" s="1" t="s">
        <v>656</v>
      </c>
      <c r="T152" s="1" t="s">
        <v>34</v>
      </c>
      <c r="U152" s="1" t="s">
        <v>44</v>
      </c>
      <c r="V152" s="1" t="s">
        <v>34</v>
      </c>
    </row>
    <row r="153" spans="1:22" x14ac:dyDescent="0.25">
      <c r="A153" s="1" t="s">
        <v>29</v>
      </c>
      <c r="B153" s="1" t="s">
        <v>520</v>
      </c>
      <c r="C153" s="1" t="s">
        <v>104</v>
      </c>
      <c r="D153" s="1" t="s">
        <v>105</v>
      </c>
      <c r="E153" s="1" t="s">
        <v>521</v>
      </c>
      <c r="F153" s="1" t="s">
        <v>522</v>
      </c>
      <c r="G153" s="1" t="s">
        <v>29</v>
      </c>
      <c r="H153" s="1" t="s">
        <v>141</v>
      </c>
      <c r="I153" s="1" t="s">
        <v>95</v>
      </c>
      <c r="J153" s="1" t="s">
        <v>48</v>
      </c>
      <c r="K153" s="1" t="s">
        <v>142</v>
      </c>
      <c r="L153" s="1" t="s">
        <v>123</v>
      </c>
      <c r="M153" s="1" t="s">
        <v>142</v>
      </c>
      <c r="N153" s="1" t="s">
        <v>126</v>
      </c>
      <c r="O153" s="1" t="s">
        <v>128</v>
      </c>
      <c r="P153" s="1" t="s">
        <v>130</v>
      </c>
      <c r="Q153" s="1" t="s">
        <v>86</v>
      </c>
      <c r="R153" s="1" t="s">
        <v>50</v>
      </c>
      <c r="S153" s="1" t="s">
        <v>656</v>
      </c>
      <c r="T153" s="1" t="s">
        <v>34</v>
      </c>
      <c r="U153" s="1" t="s">
        <v>44</v>
      </c>
      <c r="V153" s="1" t="s">
        <v>34</v>
      </c>
    </row>
    <row r="154" spans="1:22" x14ac:dyDescent="0.25">
      <c r="A154" s="1" t="s">
        <v>29</v>
      </c>
      <c r="B154" s="1" t="s">
        <v>523</v>
      </c>
      <c r="C154" s="1" t="s">
        <v>104</v>
      </c>
      <c r="D154" s="1" t="s">
        <v>105</v>
      </c>
      <c r="E154" s="1" t="s">
        <v>524</v>
      </c>
      <c r="F154" s="1" t="s">
        <v>525</v>
      </c>
      <c r="G154" s="1" t="s">
        <v>29</v>
      </c>
      <c r="H154" s="1" t="s">
        <v>141</v>
      </c>
      <c r="I154" s="1" t="s">
        <v>95</v>
      </c>
      <c r="J154" s="1" t="s">
        <v>48</v>
      </c>
      <c r="K154" s="1" t="s">
        <v>142</v>
      </c>
      <c r="L154" s="1" t="s">
        <v>123</v>
      </c>
      <c r="M154" s="1" t="s">
        <v>142</v>
      </c>
      <c r="N154" s="1" t="s">
        <v>126</v>
      </c>
      <c r="O154" s="1" t="s">
        <v>128</v>
      </c>
      <c r="P154" s="1" t="s">
        <v>130</v>
      </c>
      <c r="Q154" s="1" t="s">
        <v>86</v>
      </c>
      <c r="R154" s="1" t="s">
        <v>50</v>
      </c>
      <c r="S154" s="1" t="s">
        <v>656</v>
      </c>
      <c r="T154" s="1" t="s">
        <v>34</v>
      </c>
      <c r="U154" s="1" t="s">
        <v>44</v>
      </c>
      <c r="V154" s="1" t="s">
        <v>34</v>
      </c>
    </row>
    <row r="155" spans="1:22" x14ac:dyDescent="0.25">
      <c r="A155" s="1" t="s">
        <v>29</v>
      </c>
      <c r="B155" s="1" t="s">
        <v>526</v>
      </c>
      <c r="C155" s="1" t="s">
        <v>104</v>
      </c>
      <c r="D155" s="1" t="s">
        <v>105</v>
      </c>
      <c r="E155" s="1" t="s">
        <v>527</v>
      </c>
      <c r="F155" s="1" t="s">
        <v>528</v>
      </c>
      <c r="G155" s="1" t="s">
        <v>29</v>
      </c>
      <c r="H155" s="1" t="s">
        <v>141</v>
      </c>
      <c r="I155" s="1" t="s">
        <v>95</v>
      </c>
      <c r="J155" s="1" t="s">
        <v>48</v>
      </c>
      <c r="K155" s="1" t="s">
        <v>142</v>
      </c>
      <c r="L155" s="1" t="s">
        <v>123</v>
      </c>
      <c r="M155" s="1" t="s">
        <v>142</v>
      </c>
      <c r="N155" s="1" t="s">
        <v>126</v>
      </c>
      <c r="O155" s="1" t="s">
        <v>128</v>
      </c>
      <c r="P155" s="1" t="s">
        <v>130</v>
      </c>
      <c r="Q155" s="1" t="s">
        <v>86</v>
      </c>
      <c r="R155" s="1" t="s">
        <v>50</v>
      </c>
      <c r="S155" s="1" t="s">
        <v>656</v>
      </c>
      <c r="T155" s="1" t="s">
        <v>34</v>
      </c>
      <c r="U155" s="1" t="s">
        <v>44</v>
      </c>
      <c r="V155" s="1" t="s">
        <v>34</v>
      </c>
    </row>
    <row r="156" spans="1:22" x14ac:dyDescent="0.25">
      <c r="A156" s="1" t="s">
        <v>29</v>
      </c>
      <c r="B156" s="1" t="s">
        <v>529</v>
      </c>
      <c r="C156" s="1" t="s">
        <v>104</v>
      </c>
      <c r="D156" s="1" t="s">
        <v>105</v>
      </c>
      <c r="E156" s="1" t="s">
        <v>530</v>
      </c>
      <c r="F156" s="1" t="s">
        <v>531</v>
      </c>
      <c r="G156" s="1" t="s">
        <v>29</v>
      </c>
      <c r="H156" s="1" t="s">
        <v>141</v>
      </c>
      <c r="I156" s="1" t="s">
        <v>95</v>
      </c>
      <c r="J156" s="1" t="s">
        <v>48</v>
      </c>
      <c r="K156" s="1" t="s">
        <v>142</v>
      </c>
      <c r="L156" s="1" t="s">
        <v>123</v>
      </c>
      <c r="M156" s="1" t="s">
        <v>142</v>
      </c>
      <c r="N156" s="1" t="s">
        <v>126</v>
      </c>
      <c r="O156" s="1" t="s">
        <v>128</v>
      </c>
      <c r="P156" s="1" t="s">
        <v>130</v>
      </c>
      <c r="Q156" s="1" t="s">
        <v>86</v>
      </c>
      <c r="R156" s="1" t="s">
        <v>50</v>
      </c>
      <c r="S156" s="1" t="s">
        <v>656</v>
      </c>
      <c r="T156" s="1" t="s">
        <v>34</v>
      </c>
      <c r="U156" s="1" t="s">
        <v>44</v>
      </c>
      <c r="V156" s="1" t="s">
        <v>34</v>
      </c>
    </row>
    <row r="157" spans="1:22" x14ac:dyDescent="0.25">
      <c r="A157" s="1" t="s">
        <v>29</v>
      </c>
      <c r="B157" s="1" t="s">
        <v>532</v>
      </c>
      <c r="C157" s="1" t="s">
        <v>104</v>
      </c>
      <c r="D157" s="1" t="s">
        <v>105</v>
      </c>
      <c r="E157" s="1" t="s">
        <v>533</v>
      </c>
      <c r="F157" s="1" t="s">
        <v>534</v>
      </c>
      <c r="G157" s="1" t="s">
        <v>29</v>
      </c>
      <c r="H157" s="1" t="s">
        <v>141</v>
      </c>
      <c r="I157" s="1" t="s">
        <v>95</v>
      </c>
      <c r="J157" s="1" t="s">
        <v>48</v>
      </c>
      <c r="K157" s="1" t="s">
        <v>142</v>
      </c>
      <c r="L157" s="1" t="s">
        <v>123</v>
      </c>
      <c r="M157" s="1" t="s">
        <v>142</v>
      </c>
      <c r="N157" s="1" t="s">
        <v>126</v>
      </c>
      <c r="O157" s="1" t="s">
        <v>128</v>
      </c>
      <c r="P157" s="1" t="s">
        <v>130</v>
      </c>
      <c r="Q157" s="1" t="s">
        <v>86</v>
      </c>
      <c r="R157" s="1" t="s">
        <v>50</v>
      </c>
      <c r="S157" s="1" t="s">
        <v>656</v>
      </c>
      <c r="T157" s="1" t="s">
        <v>34</v>
      </c>
      <c r="U157" s="1" t="s">
        <v>44</v>
      </c>
      <c r="V157" s="1" t="s">
        <v>34</v>
      </c>
    </row>
    <row r="158" spans="1:22" x14ac:dyDescent="0.25">
      <c r="A158" s="1" t="s">
        <v>29</v>
      </c>
      <c r="B158" s="1" t="s">
        <v>535</v>
      </c>
      <c r="C158" s="1" t="s">
        <v>104</v>
      </c>
      <c r="D158" s="1" t="s">
        <v>105</v>
      </c>
      <c r="E158" s="1" t="s">
        <v>536</v>
      </c>
      <c r="F158" s="1" t="s">
        <v>537</v>
      </c>
      <c r="G158" s="1" t="s">
        <v>29</v>
      </c>
      <c r="H158" s="1" t="s">
        <v>141</v>
      </c>
      <c r="I158" s="1" t="s">
        <v>95</v>
      </c>
      <c r="J158" s="1" t="s">
        <v>48</v>
      </c>
      <c r="K158" s="1" t="s">
        <v>142</v>
      </c>
      <c r="L158" s="1" t="s">
        <v>123</v>
      </c>
      <c r="M158" s="1" t="s">
        <v>142</v>
      </c>
      <c r="N158" s="1" t="s">
        <v>126</v>
      </c>
      <c r="O158" s="1" t="s">
        <v>128</v>
      </c>
      <c r="P158" s="1" t="s">
        <v>130</v>
      </c>
      <c r="Q158" s="1" t="s">
        <v>86</v>
      </c>
      <c r="R158" s="1" t="s">
        <v>50</v>
      </c>
      <c r="S158" s="1" t="s">
        <v>656</v>
      </c>
      <c r="T158" s="1" t="s">
        <v>34</v>
      </c>
      <c r="U158" s="1" t="s">
        <v>44</v>
      </c>
      <c r="V158" s="1" t="s">
        <v>34</v>
      </c>
    </row>
    <row r="159" spans="1:22" x14ac:dyDescent="0.25">
      <c r="A159" s="1" t="s">
        <v>29</v>
      </c>
      <c r="B159" s="1" t="s">
        <v>538</v>
      </c>
      <c r="C159" s="1" t="s">
        <v>104</v>
      </c>
      <c r="D159" s="1" t="s">
        <v>105</v>
      </c>
      <c r="E159" s="1" t="s">
        <v>539</v>
      </c>
      <c r="F159" s="1" t="s">
        <v>540</v>
      </c>
      <c r="G159" s="1" t="s">
        <v>29</v>
      </c>
      <c r="H159" s="1" t="s">
        <v>141</v>
      </c>
      <c r="I159" s="1" t="s">
        <v>95</v>
      </c>
      <c r="J159" s="1" t="s">
        <v>48</v>
      </c>
      <c r="K159" s="1" t="s">
        <v>142</v>
      </c>
      <c r="L159" s="1" t="s">
        <v>123</v>
      </c>
      <c r="M159" s="1" t="s">
        <v>142</v>
      </c>
      <c r="N159" s="1" t="s">
        <v>126</v>
      </c>
      <c r="O159" s="1" t="s">
        <v>128</v>
      </c>
      <c r="P159" s="1" t="s">
        <v>130</v>
      </c>
      <c r="Q159" s="1" t="s">
        <v>86</v>
      </c>
      <c r="R159" s="1" t="s">
        <v>50</v>
      </c>
      <c r="S159" s="1" t="s">
        <v>656</v>
      </c>
      <c r="T159" s="1" t="s">
        <v>34</v>
      </c>
      <c r="U159" s="1" t="s">
        <v>44</v>
      </c>
      <c r="V159" s="1" t="s">
        <v>34</v>
      </c>
    </row>
    <row r="160" spans="1:22" x14ac:dyDescent="0.25">
      <c r="A160" s="1" t="s">
        <v>29</v>
      </c>
      <c r="B160" s="1" t="s">
        <v>541</v>
      </c>
      <c r="C160" s="1" t="s">
        <v>104</v>
      </c>
      <c r="D160" s="1" t="s">
        <v>105</v>
      </c>
      <c r="E160" s="1" t="s">
        <v>542</v>
      </c>
      <c r="F160" s="1" t="s">
        <v>543</v>
      </c>
      <c r="G160" s="1" t="s">
        <v>29</v>
      </c>
      <c r="H160" s="1" t="s">
        <v>141</v>
      </c>
      <c r="I160" s="1" t="s">
        <v>95</v>
      </c>
      <c r="J160" s="1" t="s">
        <v>48</v>
      </c>
      <c r="K160" s="1" t="s">
        <v>142</v>
      </c>
      <c r="L160" s="1" t="s">
        <v>123</v>
      </c>
      <c r="M160" s="1" t="s">
        <v>142</v>
      </c>
      <c r="N160" s="1" t="s">
        <v>126</v>
      </c>
      <c r="O160" s="1" t="s">
        <v>128</v>
      </c>
      <c r="P160" s="1" t="s">
        <v>130</v>
      </c>
      <c r="Q160" s="1" t="s">
        <v>86</v>
      </c>
      <c r="R160" s="1" t="s">
        <v>50</v>
      </c>
      <c r="S160" s="1" t="s">
        <v>656</v>
      </c>
      <c r="T160" s="1" t="s">
        <v>34</v>
      </c>
      <c r="U160" s="1" t="s">
        <v>44</v>
      </c>
      <c r="V160" s="1" t="s">
        <v>34</v>
      </c>
    </row>
    <row r="161" spans="1:22" x14ac:dyDescent="0.25">
      <c r="A161" s="1" t="s">
        <v>29</v>
      </c>
      <c r="B161" s="1" t="s">
        <v>544</v>
      </c>
      <c r="C161" s="1" t="s">
        <v>104</v>
      </c>
      <c r="D161" s="1" t="s">
        <v>105</v>
      </c>
      <c r="E161" s="1" t="s">
        <v>545</v>
      </c>
      <c r="F161" s="1" t="s">
        <v>546</v>
      </c>
      <c r="G161" s="1" t="s">
        <v>29</v>
      </c>
      <c r="H161" s="1" t="s">
        <v>141</v>
      </c>
      <c r="I161" s="1" t="s">
        <v>95</v>
      </c>
      <c r="J161" s="1" t="s">
        <v>48</v>
      </c>
      <c r="K161" s="1" t="s">
        <v>142</v>
      </c>
      <c r="L161" s="1" t="s">
        <v>123</v>
      </c>
      <c r="M161" s="1" t="s">
        <v>142</v>
      </c>
      <c r="N161" s="1" t="s">
        <v>126</v>
      </c>
      <c r="O161" s="1" t="s">
        <v>128</v>
      </c>
      <c r="P161" s="1" t="s">
        <v>130</v>
      </c>
      <c r="Q161" s="1" t="s">
        <v>86</v>
      </c>
      <c r="R161" s="1" t="s">
        <v>50</v>
      </c>
      <c r="S161" s="1" t="s">
        <v>656</v>
      </c>
      <c r="T161" s="1" t="s">
        <v>34</v>
      </c>
      <c r="U161" s="1" t="s">
        <v>44</v>
      </c>
      <c r="V161" s="1" t="s">
        <v>34</v>
      </c>
    </row>
    <row r="162" spans="1:22" x14ac:dyDescent="0.25">
      <c r="A162" s="1" t="s">
        <v>29</v>
      </c>
      <c r="B162" s="1" t="s">
        <v>547</v>
      </c>
      <c r="C162" s="1" t="s">
        <v>104</v>
      </c>
      <c r="D162" s="1" t="s">
        <v>105</v>
      </c>
      <c r="E162" s="1" t="s">
        <v>548</v>
      </c>
      <c r="F162" s="1" t="s">
        <v>549</v>
      </c>
      <c r="G162" s="1" t="s">
        <v>29</v>
      </c>
      <c r="H162" s="1" t="s">
        <v>141</v>
      </c>
      <c r="I162" s="1" t="s">
        <v>95</v>
      </c>
      <c r="J162" s="1" t="s">
        <v>48</v>
      </c>
      <c r="K162" s="1" t="s">
        <v>142</v>
      </c>
      <c r="L162" s="1" t="s">
        <v>123</v>
      </c>
      <c r="M162" s="1" t="s">
        <v>142</v>
      </c>
      <c r="N162" s="1" t="s">
        <v>126</v>
      </c>
      <c r="O162" s="1" t="s">
        <v>128</v>
      </c>
      <c r="P162" s="1" t="s">
        <v>130</v>
      </c>
      <c r="Q162" s="1" t="s">
        <v>86</v>
      </c>
      <c r="R162" s="1" t="s">
        <v>50</v>
      </c>
      <c r="S162" s="1" t="s">
        <v>656</v>
      </c>
      <c r="T162" s="1" t="s">
        <v>34</v>
      </c>
      <c r="U162" s="1" t="s">
        <v>44</v>
      </c>
      <c r="V162" s="1" t="s">
        <v>34</v>
      </c>
    </row>
    <row r="163" spans="1:22" x14ac:dyDescent="0.25">
      <c r="A163" s="1" t="s">
        <v>29</v>
      </c>
      <c r="B163" s="1" t="s">
        <v>550</v>
      </c>
      <c r="C163" s="1" t="s">
        <v>104</v>
      </c>
      <c r="D163" s="1" t="s">
        <v>105</v>
      </c>
      <c r="E163" s="1" t="s">
        <v>551</v>
      </c>
      <c r="F163" s="1" t="s">
        <v>552</v>
      </c>
      <c r="G163" s="1" t="s">
        <v>29</v>
      </c>
      <c r="H163" s="1" t="s">
        <v>141</v>
      </c>
      <c r="I163" s="1" t="s">
        <v>95</v>
      </c>
      <c r="J163" s="1" t="s">
        <v>48</v>
      </c>
      <c r="K163" s="1" t="s">
        <v>142</v>
      </c>
      <c r="L163" s="1" t="s">
        <v>123</v>
      </c>
      <c r="M163" s="1" t="s">
        <v>142</v>
      </c>
      <c r="N163" s="1" t="s">
        <v>126</v>
      </c>
      <c r="O163" s="1" t="s">
        <v>128</v>
      </c>
      <c r="P163" s="1" t="s">
        <v>130</v>
      </c>
      <c r="Q163" s="1" t="s">
        <v>86</v>
      </c>
      <c r="R163" s="1" t="s">
        <v>50</v>
      </c>
      <c r="S163" s="1" t="s">
        <v>656</v>
      </c>
      <c r="T163" s="1" t="s">
        <v>34</v>
      </c>
      <c r="U163" s="1" t="s">
        <v>44</v>
      </c>
      <c r="V163" s="1" t="s">
        <v>34</v>
      </c>
    </row>
    <row r="164" spans="1:22" x14ac:dyDescent="0.25">
      <c r="A164" s="1" t="s">
        <v>29</v>
      </c>
      <c r="B164" s="1" t="s">
        <v>553</v>
      </c>
      <c r="C164" s="1" t="s">
        <v>104</v>
      </c>
      <c r="D164" s="1" t="s">
        <v>105</v>
      </c>
      <c r="E164" s="1" t="s">
        <v>554</v>
      </c>
      <c r="F164" s="1" t="s">
        <v>555</v>
      </c>
      <c r="G164" s="1" t="s">
        <v>29</v>
      </c>
      <c r="H164" s="1" t="s">
        <v>141</v>
      </c>
      <c r="I164" s="1" t="s">
        <v>95</v>
      </c>
      <c r="J164" s="1" t="s">
        <v>48</v>
      </c>
      <c r="K164" s="1" t="s">
        <v>142</v>
      </c>
      <c r="L164" s="1" t="s">
        <v>123</v>
      </c>
      <c r="M164" s="1" t="s">
        <v>142</v>
      </c>
      <c r="N164" s="1" t="s">
        <v>126</v>
      </c>
      <c r="O164" s="1" t="s">
        <v>128</v>
      </c>
      <c r="P164" s="1" t="s">
        <v>130</v>
      </c>
      <c r="Q164" s="1" t="s">
        <v>86</v>
      </c>
      <c r="R164" s="1" t="s">
        <v>50</v>
      </c>
      <c r="S164" s="1" t="s">
        <v>656</v>
      </c>
      <c r="T164" s="1" t="s">
        <v>34</v>
      </c>
      <c r="U164" s="1" t="s">
        <v>44</v>
      </c>
      <c r="V164" s="1" t="s">
        <v>34</v>
      </c>
    </row>
    <row r="165" spans="1:22" x14ac:dyDescent="0.25">
      <c r="A165" s="1" t="s">
        <v>29</v>
      </c>
      <c r="B165" s="1" t="s">
        <v>556</v>
      </c>
      <c r="C165" s="1" t="s">
        <v>104</v>
      </c>
      <c r="D165" s="1" t="s">
        <v>105</v>
      </c>
      <c r="E165" s="1" t="s">
        <v>557</v>
      </c>
      <c r="F165" s="1" t="s">
        <v>558</v>
      </c>
      <c r="G165" s="1" t="s">
        <v>29</v>
      </c>
      <c r="H165" s="1" t="s">
        <v>141</v>
      </c>
      <c r="I165" s="1" t="s">
        <v>95</v>
      </c>
      <c r="J165" s="1" t="s">
        <v>48</v>
      </c>
      <c r="K165" s="1" t="s">
        <v>142</v>
      </c>
      <c r="L165" s="1" t="s">
        <v>123</v>
      </c>
      <c r="M165" s="1" t="s">
        <v>142</v>
      </c>
      <c r="N165" s="1" t="s">
        <v>126</v>
      </c>
      <c r="O165" s="1" t="s">
        <v>128</v>
      </c>
      <c r="P165" s="1" t="s">
        <v>130</v>
      </c>
      <c r="Q165" s="1" t="s">
        <v>86</v>
      </c>
      <c r="R165" s="1" t="s">
        <v>50</v>
      </c>
      <c r="S165" s="1" t="s">
        <v>656</v>
      </c>
      <c r="T165" s="1" t="s">
        <v>34</v>
      </c>
      <c r="U165" s="1" t="s">
        <v>44</v>
      </c>
      <c r="V165" s="1" t="s">
        <v>34</v>
      </c>
    </row>
    <row r="166" spans="1:22" x14ac:dyDescent="0.25">
      <c r="A166" s="1" t="s">
        <v>29</v>
      </c>
      <c r="B166" s="1" t="s">
        <v>559</v>
      </c>
      <c r="C166" s="1" t="s">
        <v>104</v>
      </c>
      <c r="D166" s="1" t="s">
        <v>105</v>
      </c>
      <c r="E166" s="1" t="s">
        <v>560</v>
      </c>
      <c r="F166" s="1" t="s">
        <v>561</v>
      </c>
      <c r="G166" s="1" t="s">
        <v>29</v>
      </c>
      <c r="H166" s="1" t="s">
        <v>141</v>
      </c>
      <c r="I166" s="1" t="s">
        <v>95</v>
      </c>
      <c r="J166" s="1" t="s">
        <v>48</v>
      </c>
      <c r="K166" s="1" t="s">
        <v>142</v>
      </c>
      <c r="L166" s="1" t="s">
        <v>123</v>
      </c>
      <c r="M166" s="1" t="s">
        <v>142</v>
      </c>
      <c r="N166" s="1" t="s">
        <v>126</v>
      </c>
      <c r="O166" s="1" t="s">
        <v>128</v>
      </c>
      <c r="P166" s="1" t="s">
        <v>130</v>
      </c>
      <c r="Q166" s="1" t="s">
        <v>86</v>
      </c>
      <c r="R166" s="1" t="s">
        <v>50</v>
      </c>
      <c r="S166" s="1" t="s">
        <v>656</v>
      </c>
      <c r="T166" s="1" t="s">
        <v>34</v>
      </c>
      <c r="U166" s="1" t="s">
        <v>44</v>
      </c>
      <c r="V166" s="1" t="s">
        <v>34</v>
      </c>
    </row>
    <row r="167" spans="1:22" x14ac:dyDescent="0.25">
      <c r="A167" s="1" t="s">
        <v>29</v>
      </c>
      <c r="B167" s="1" t="s">
        <v>562</v>
      </c>
      <c r="C167" s="1" t="s">
        <v>104</v>
      </c>
      <c r="D167" s="1" t="s">
        <v>105</v>
      </c>
      <c r="E167" s="1" t="s">
        <v>563</v>
      </c>
      <c r="F167" s="1" t="s">
        <v>564</v>
      </c>
      <c r="G167" s="1" t="s">
        <v>29</v>
      </c>
      <c r="H167" s="1" t="s">
        <v>141</v>
      </c>
      <c r="I167" s="1" t="s">
        <v>95</v>
      </c>
      <c r="J167" s="1" t="s">
        <v>48</v>
      </c>
      <c r="K167" s="1" t="s">
        <v>142</v>
      </c>
      <c r="L167" s="1" t="s">
        <v>123</v>
      </c>
      <c r="M167" s="1" t="s">
        <v>142</v>
      </c>
      <c r="N167" s="1" t="s">
        <v>126</v>
      </c>
      <c r="O167" s="1" t="s">
        <v>128</v>
      </c>
      <c r="P167" s="1" t="s">
        <v>130</v>
      </c>
      <c r="Q167" s="1" t="s">
        <v>86</v>
      </c>
      <c r="R167" s="1" t="s">
        <v>50</v>
      </c>
      <c r="S167" s="1" t="s">
        <v>656</v>
      </c>
      <c r="T167" s="1" t="s">
        <v>34</v>
      </c>
      <c r="U167" s="1" t="s">
        <v>44</v>
      </c>
      <c r="V167" s="1" t="s">
        <v>34</v>
      </c>
    </row>
    <row r="168" spans="1:22" x14ac:dyDescent="0.25">
      <c r="A168" s="1" t="s">
        <v>29</v>
      </c>
      <c r="B168" s="1" t="s">
        <v>565</v>
      </c>
      <c r="C168" s="1" t="s">
        <v>104</v>
      </c>
      <c r="D168" s="1" t="s">
        <v>105</v>
      </c>
      <c r="E168" s="1" t="s">
        <v>566</v>
      </c>
      <c r="F168" s="1" t="s">
        <v>567</v>
      </c>
      <c r="G168" s="1" t="s">
        <v>29</v>
      </c>
      <c r="H168" s="1" t="s">
        <v>141</v>
      </c>
      <c r="I168" s="1" t="s">
        <v>95</v>
      </c>
      <c r="J168" s="1" t="s">
        <v>48</v>
      </c>
      <c r="K168" s="1" t="s">
        <v>142</v>
      </c>
      <c r="L168" s="1" t="s">
        <v>123</v>
      </c>
      <c r="M168" s="1" t="s">
        <v>142</v>
      </c>
      <c r="N168" s="1" t="s">
        <v>126</v>
      </c>
      <c r="O168" s="1" t="s">
        <v>128</v>
      </c>
      <c r="P168" s="1" t="s">
        <v>130</v>
      </c>
      <c r="Q168" s="1" t="s">
        <v>86</v>
      </c>
      <c r="R168" s="1" t="s">
        <v>50</v>
      </c>
      <c r="S168" s="1" t="s">
        <v>656</v>
      </c>
      <c r="T168" s="1" t="s">
        <v>34</v>
      </c>
      <c r="U168" s="1" t="s">
        <v>44</v>
      </c>
      <c r="V168" s="1" t="s">
        <v>34</v>
      </c>
    </row>
    <row r="169" spans="1:22" x14ac:dyDescent="0.25">
      <c r="A169" s="1" t="s">
        <v>29</v>
      </c>
      <c r="B169" s="1" t="s">
        <v>568</v>
      </c>
      <c r="C169" s="1" t="s">
        <v>104</v>
      </c>
      <c r="D169" s="1" t="s">
        <v>105</v>
      </c>
      <c r="E169" s="1" t="s">
        <v>569</v>
      </c>
      <c r="F169" s="1" t="s">
        <v>570</v>
      </c>
      <c r="G169" s="1" t="s">
        <v>29</v>
      </c>
      <c r="H169" s="1" t="s">
        <v>141</v>
      </c>
      <c r="I169" s="1" t="s">
        <v>95</v>
      </c>
      <c r="J169" s="1" t="s">
        <v>48</v>
      </c>
      <c r="K169" s="1" t="s">
        <v>142</v>
      </c>
      <c r="L169" s="1" t="s">
        <v>123</v>
      </c>
      <c r="M169" s="1" t="s">
        <v>142</v>
      </c>
      <c r="N169" s="1" t="s">
        <v>126</v>
      </c>
      <c r="O169" s="1" t="s">
        <v>128</v>
      </c>
      <c r="P169" s="1" t="s">
        <v>130</v>
      </c>
      <c r="Q169" s="1" t="s">
        <v>86</v>
      </c>
      <c r="R169" s="1" t="s">
        <v>50</v>
      </c>
      <c r="S169" s="1" t="s">
        <v>656</v>
      </c>
      <c r="T169" s="1" t="s">
        <v>34</v>
      </c>
      <c r="U169" s="1" t="s">
        <v>44</v>
      </c>
      <c r="V169" s="1" t="s">
        <v>34</v>
      </c>
    </row>
    <row r="170" spans="1:22" x14ac:dyDescent="0.25">
      <c r="A170" s="1" t="s">
        <v>29</v>
      </c>
      <c r="B170" s="1" t="s">
        <v>571</v>
      </c>
      <c r="C170" s="1" t="s">
        <v>104</v>
      </c>
      <c r="D170" s="1" t="s">
        <v>105</v>
      </c>
      <c r="E170" s="1" t="s">
        <v>572</v>
      </c>
      <c r="F170" s="1" t="s">
        <v>573</v>
      </c>
      <c r="G170" s="1" t="s">
        <v>29</v>
      </c>
      <c r="H170" s="1" t="s">
        <v>141</v>
      </c>
      <c r="I170" s="1" t="s">
        <v>95</v>
      </c>
      <c r="J170" s="1" t="s">
        <v>48</v>
      </c>
      <c r="K170" s="1" t="s">
        <v>142</v>
      </c>
      <c r="L170" s="1" t="s">
        <v>123</v>
      </c>
      <c r="M170" s="1" t="s">
        <v>142</v>
      </c>
      <c r="N170" s="1" t="s">
        <v>126</v>
      </c>
      <c r="O170" s="1" t="s">
        <v>128</v>
      </c>
      <c r="P170" s="1" t="s">
        <v>130</v>
      </c>
      <c r="Q170" s="1" t="s">
        <v>86</v>
      </c>
      <c r="R170" s="1" t="s">
        <v>50</v>
      </c>
      <c r="S170" s="1" t="s">
        <v>656</v>
      </c>
      <c r="T170" s="1" t="s">
        <v>34</v>
      </c>
      <c r="U170" s="1" t="s">
        <v>44</v>
      </c>
      <c r="V170" s="1" t="s">
        <v>34</v>
      </c>
    </row>
    <row r="171" spans="1:22" x14ac:dyDescent="0.25">
      <c r="A171" s="1" t="s">
        <v>29</v>
      </c>
      <c r="B171" s="1" t="s">
        <v>574</v>
      </c>
      <c r="C171" s="1" t="s">
        <v>104</v>
      </c>
      <c r="D171" s="1" t="s">
        <v>105</v>
      </c>
      <c r="E171" s="1" t="s">
        <v>575</v>
      </c>
      <c r="F171" s="1" t="s">
        <v>576</v>
      </c>
      <c r="G171" s="1" t="s">
        <v>29</v>
      </c>
      <c r="H171" s="1" t="s">
        <v>141</v>
      </c>
      <c r="I171" s="1" t="s">
        <v>95</v>
      </c>
      <c r="J171" s="1" t="s">
        <v>48</v>
      </c>
      <c r="K171" s="1" t="s">
        <v>142</v>
      </c>
      <c r="L171" s="1" t="s">
        <v>123</v>
      </c>
      <c r="M171" s="1" t="s">
        <v>142</v>
      </c>
      <c r="N171" s="1" t="s">
        <v>126</v>
      </c>
      <c r="O171" s="1" t="s">
        <v>128</v>
      </c>
      <c r="P171" s="1" t="s">
        <v>130</v>
      </c>
      <c r="Q171" s="1" t="s">
        <v>86</v>
      </c>
      <c r="R171" s="1" t="s">
        <v>50</v>
      </c>
      <c r="S171" s="1" t="s">
        <v>656</v>
      </c>
      <c r="T171" s="1" t="s">
        <v>34</v>
      </c>
      <c r="U171" s="1" t="s">
        <v>44</v>
      </c>
      <c r="V171" s="1" t="s">
        <v>34</v>
      </c>
    </row>
    <row r="172" spans="1:22" x14ac:dyDescent="0.25">
      <c r="A172" s="1" t="s">
        <v>29</v>
      </c>
      <c r="B172" s="1" t="s">
        <v>577</v>
      </c>
      <c r="C172" s="1" t="s">
        <v>104</v>
      </c>
      <c r="D172" s="1" t="s">
        <v>105</v>
      </c>
      <c r="E172" s="1" t="s">
        <v>578</v>
      </c>
      <c r="F172" s="1" t="s">
        <v>579</v>
      </c>
      <c r="G172" s="1" t="s">
        <v>29</v>
      </c>
      <c r="H172" s="1" t="s">
        <v>141</v>
      </c>
      <c r="I172" s="1" t="s">
        <v>95</v>
      </c>
      <c r="J172" s="1" t="s">
        <v>48</v>
      </c>
      <c r="K172" s="1" t="s">
        <v>142</v>
      </c>
      <c r="L172" s="1" t="s">
        <v>123</v>
      </c>
      <c r="M172" s="1" t="s">
        <v>142</v>
      </c>
      <c r="N172" s="1" t="s">
        <v>126</v>
      </c>
      <c r="O172" s="1" t="s">
        <v>128</v>
      </c>
      <c r="P172" s="1" t="s">
        <v>130</v>
      </c>
      <c r="Q172" s="1" t="s">
        <v>86</v>
      </c>
      <c r="R172" s="1" t="s">
        <v>50</v>
      </c>
      <c r="S172" s="1" t="s">
        <v>656</v>
      </c>
      <c r="T172" s="1" t="s">
        <v>34</v>
      </c>
      <c r="U172" s="1" t="s">
        <v>44</v>
      </c>
      <c r="V172" s="1" t="s">
        <v>34</v>
      </c>
    </row>
    <row r="173" spans="1:22" x14ac:dyDescent="0.25">
      <c r="A173" s="1" t="s">
        <v>29</v>
      </c>
      <c r="B173" s="1" t="s">
        <v>580</v>
      </c>
      <c r="C173" s="1" t="s">
        <v>104</v>
      </c>
      <c r="D173" s="1" t="s">
        <v>105</v>
      </c>
      <c r="E173" s="1" t="s">
        <v>581</v>
      </c>
      <c r="F173" s="1" t="s">
        <v>582</v>
      </c>
      <c r="G173" s="1" t="s">
        <v>29</v>
      </c>
      <c r="H173" s="1" t="s">
        <v>141</v>
      </c>
      <c r="I173" s="1" t="s">
        <v>95</v>
      </c>
      <c r="J173" s="1" t="s">
        <v>48</v>
      </c>
      <c r="K173" s="1" t="s">
        <v>142</v>
      </c>
      <c r="L173" s="1" t="s">
        <v>123</v>
      </c>
      <c r="M173" s="1" t="s">
        <v>142</v>
      </c>
      <c r="N173" s="1" t="s">
        <v>126</v>
      </c>
      <c r="O173" s="1" t="s">
        <v>128</v>
      </c>
      <c r="P173" s="1" t="s">
        <v>130</v>
      </c>
      <c r="Q173" s="1" t="s">
        <v>86</v>
      </c>
      <c r="R173" s="1" t="s">
        <v>50</v>
      </c>
      <c r="S173" s="1" t="s">
        <v>656</v>
      </c>
      <c r="T173" s="1" t="s">
        <v>34</v>
      </c>
      <c r="U173" s="1" t="s">
        <v>44</v>
      </c>
      <c r="V173" s="1" t="s">
        <v>34</v>
      </c>
    </row>
    <row r="174" spans="1:22" x14ac:dyDescent="0.25">
      <c r="A174" s="1" t="s">
        <v>29</v>
      </c>
      <c r="B174" s="1" t="s">
        <v>583</v>
      </c>
      <c r="C174" s="1" t="s">
        <v>104</v>
      </c>
      <c r="D174" s="1" t="s">
        <v>105</v>
      </c>
      <c r="E174" s="1" t="s">
        <v>584</v>
      </c>
      <c r="F174" s="1" t="s">
        <v>585</v>
      </c>
      <c r="G174" s="1" t="s">
        <v>29</v>
      </c>
      <c r="H174" s="1" t="s">
        <v>141</v>
      </c>
      <c r="I174" s="1" t="s">
        <v>95</v>
      </c>
      <c r="J174" s="1" t="s">
        <v>48</v>
      </c>
      <c r="K174" s="1" t="s">
        <v>142</v>
      </c>
      <c r="L174" s="1" t="s">
        <v>123</v>
      </c>
      <c r="M174" s="1" t="s">
        <v>142</v>
      </c>
      <c r="N174" s="1" t="s">
        <v>126</v>
      </c>
      <c r="O174" s="1" t="s">
        <v>128</v>
      </c>
      <c r="P174" s="1" t="s">
        <v>130</v>
      </c>
      <c r="Q174" s="1" t="s">
        <v>86</v>
      </c>
      <c r="R174" s="1" t="s">
        <v>50</v>
      </c>
      <c r="S174" s="1" t="s">
        <v>656</v>
      </c>
      <c r="T174" s="1" t="s">
        <v>34</v>
      </c>
      <c r="U174" s="1" t="s">
        <v>44</v>
      </c>
      <c r="V174" s="1" t="s">
        <v>34</v>
      </c>
    </row>
    <row r="175" spans="1:22" x14ac:dyDescent="0.25">
      <c r="A175" s="1" t="s">
        <v>29</v>
      </c>
      <c r="B175" s="1" t="s">
        <v>586</v>
      </c>
      <c r="C175" s="1" t="s">
        <v>104</v>
      </c>
      <c r="D175" s="1" t="s">
        <v>105</v>
      </c>
      <c r="E175" s="1" t="s">
        <v>587</v>
      </c>
      <c r="F175" s="1" t="s">
        <v>588</v>
      </c>
      <c r="G175" s="1" t="s">
        <v>29</v>
      </c>
      <c r="H175" s="1" t="s">
        <v>141</v>
      </c>
      <c r="I175" s="1" t="s">
        <v>95</v>
      </c>
      <c r="J175" s="1" t="s">
        <v>48</v>
      </c>
      <c r="K175" s="1" t="s">
        <v>142</v>
      </c>
      <c r="L175" s="1" t="s">
        <v>123</v>
      </c>
      <c r="M175" s="1" t="s">
        <v>142</v>
      </c>
      <c r="N175" s="1" t="s">
        <v>126</v>
      </c>
      <c r="O175" s="1" t="s">
        <v>128</v>
      </c>
      <c r="P175" s="1" t="s">
        <v>130</v>
      </c>
      <c r="Q175" s="1" t="s">
        <v>86</v>
      </c>
      <c r="R175" s="1" t="s">
        <v>50</v>
      </c>
      <c r="S175" s="1" t="s">
        <v>656</v>
      </c>
      <c r="T175" s="1" t="s">
        <v>34</v>
      </c>
      <c r="U175" s="1" t="s">
        <v>44</v>
      </c>
      <c r="V175" s="1" t="s">
        <v>34</v>
      </c>
    </row>
    <row r="176" spans="1:22" x14ac:dyDescent="0.25">
      <c r="A176" s="1" t="s">
        <v>29</v>
      </c>
      <c r="B176" s="1" t="s">
        <v>589</v>
      </c>
      <c r="C176" s="1" t="s">
        <v>104</v>
      </c>
      <c r="D176" s="1" t="s">
        <v>105</v>
      </c>
      <c r="E176" s="1" t="s">
        <v>590</v>
      </c>
      <c r="F176" s="1" t="s">
        <v>591</v>
      </c>
      <c r="G176" s="1" t="s">
        <v>29</v>
      </c>
      <c r="H176" s="1" t="s">
        <v>141</v>
      </c>
      <c r="I176" s="1" t="s">
        <v>95</v>
      </c>
      <c r="J176" s="1" t="s">
        <v>48</v>
      </c>
      <c r="K176" s="1" t="s">
        <v>142</v>
      </c>
      <c r="L176" s="1" t="s">
        <v>123</v>
      </c>
      <c r="M176" s="1" t="s">
        <v>142</v>
      </c>
      <c r="N176" s="1" t="s">
        <v>126</v>
      </c>
      <c r="O176" s="1" t="s">
        <v>128</v>
      </c>
      <c r="P176" s="1" t="s">
        <v>130</v>
      </c>
      <c r="Q176" s="1" t="s">
        <v>86</v>
      </c>
      <c r="R176" s="1" t="s">
        <v>50</v>
      </c>
      <c r="S176" s="1" t="s">
        <v>656</v>
      </c>
      <c r="T176" s="1" t="s">
        <v>34</v>
      </c>
      <c r="U176" s="1" t="s">
        <v>44</v>
      </c>
      <c r="V176" s="1" t="s">
        <v>34</v>
      </c>
    </row>
    <row r="177" spans="1:22" x14ac:dyDescent="0.25">
      <c r="A177" s="1" t="s">
        <v>29</v>
      </c>
      <c r="B177" s="1" t="s">
        <v>592</v>
      </c>
      <c r="C177" s="1" t="s">
        <v>104</v>
      </c>
      <c r="D177" s="1" t="s">
        <v>105</v>
      </c>
      <c r="E177" s="1" t="s">
        <v>593</v>
      </c>
      <c r="F177" s="1" t="s">
        <v>594</v>
      </c>
      <c r="G177" s="1" t="s">
        <v>29</v>
      </c>
      <c r="H177" s="1" t="s">
        <v>141</v>
      </c>
      <c r="I177" s="1" t="s">
        <v>95</v>
      </c>
      <c r="J177" s="1" t="s">
        <v>48</v>
      </c>
      <c r="K177" s="1" t="s">
        <v>142</v>
      </c>
      <c r="L177" s="1" t="s">
        <v>123</v>
      </c>
      <c r="M177" s="1" t="s">
        <v>142</v>
      </c>
      <c r="N177" s="1" t="s">
        <v>126</v>
      </c>
      <c r="O177" s="1" t="s">
        <v>128</v>
      </c>
      <c r="P177" s="1" t="s">
        <v>130</v>
      </c>
      <c r="Q177" s="1" t="s">
        <v>86</v>
      </c>
      <c r="R177" s="1" t="s">
        <v>50</v>
      </c>
      <c r="S177" s="1" t="s">
        <v>656</v>
      </c>
      <c r="T177" s="1" t="s">
        <v>34</v>
      </c>
      <c r="U177" s="1" t="s">
        <v>44</v>
      </c>
      <c r="V177" s="1" t="s">
        <v>34</v>
      </c>
    </row>
    <row r="178" spans="1:22" x14ac:dyDescent="0.25">
      <c r="A178" s="1" t="s">
        <v>29</v>
      </c>
      <c r="B178" s="1" t="s">
        <v>595</v>
      </c>
      <c r="C178" s="1" t="s">
        <v>104</v>
      </c>
      <c r="D178" s="1" t="s">
        <v>105</v>
      </c>
      <c r="E178" s="1" t="s">
        <v>596</v>
      </c>
      <c r="F178" s="1" t="s">
        <v>597</v>
      </c>
      <c r="G178" s="1" t="s">
        <v>29</v>
      </c>
      <c r="H178" s="1" t="s">
        <v>141</v>
      </c>
      <c r="I178" s="1" t="s">
        <v>95</v>
      </c>
      <c r="J178" s="1" t="s">
        <v>48</v>
      </c>
      <c r="K178" s="1" t="s">
        <v>142</v>
      </c>
      <c r="L178" s="1" t="s">
        <v>123</v>
      </c>
      <c r="M178" s="1" t="s">
        <v>142</v>
      </c>
      <c r="N178" s="1" t="s">
        <v>126</v>
      </c>
      <c r="O178" s="1" t="s">
        <v>128</v>
      </c>
      <c r="P178" s="1" t="s">
        <v>130</v>
      </c>
      <c r="Q178" s="1" t="s">
        <v>86</v>
      </c>
      <c r="R178" s="1" t="s">
        <v>50</v>
      </c>
      <c r="S178" s="1" t="s">
        <v>656</v>
      </c>
      <c r="T178" s="1" t="s">
        <v>34</v>
      </c>
      <c r="U178" s="1" t="s">
        <v>44</v>
      </c>
      <c r="V178" s="1" t="s">
        <v>34</v>
      </c>
    </row>
    <row r="179" spans="1:22" x14ac:dyDescent="0.25">
      <c r="A179" s="1" t="s">
        <v>29</v>
      </c>
      <c r="B179" s="1" t="s">
        <v>598</v>
      </c>
      <c r="C179" s="1" t="s">
        <v>104</v>
      </c>
      <c r="D179" s="1" t="s">
        <v>105</v>
      </c>
      <c r="E179" s="1" t="s">
        <v>599</v>
      </c>
      <c r="F179" s="1" t="s">
        <v>600</v>
      </c>
      <c r="G179" s="1" t="s">
        <v>29</v>
      </c>
      <c r="H179" s="1" t="s">
        <v>141</v>
      </c>
      <c r="I179" s="1" t="s">
        <v>95</v>
      </c>
      <c r="J179" s="1" t="s">
        <v>48</v>
      </c>
      <c r="K179" s="1" t="s">
        <v>142</v>
      </c>
      <c r="L179" s="1" t="s">
        <v>123</v>
      </c>
      <c r="M179" s="1" t="s">
        <v>142</v>
      </c>
      <c r="N179" s="1" t="s">
        <v>126</v>
      </c>
      <c r="O179" s="1" t="s">
        <v>128</v>
      </c>
      <c r="P179" s="1" t="s">
        <v>130</v>
      </c>
      <c r="Q179" s="1" t="s">
        <v>86</v>
      </c>
      <c r="R179" s="1" t="s">
        <v>50</v>
      </c>
      <c r="S179" s="1" t="s">
        <v>656</v>
      </c>
      <c r="T179" s="1" t="s">
        <v>34</v>
      </c>
      <c r="U179" s="1" t="s">
        <v>44</v>
      </c>
      <c r="V179" s="1" t="s">
        <v>34</v>
      </c>
    </row>
    <row r="180" spans="1:22" x14ac:dyDescent="0.25">
      <c r="A180" s="1" t="s">
        <v>29</v>
      </c>
      <c r="B180" s="1" t="s">
        <v>601</v>
      </c>
      <c r="C180" s="1" t="s">
        <v>104</v>
      </c>
      <c r="D180" s="1" t="s">
        <v>105</v>
      </c>
      <c r="E180" s="1" t="s">
        <v>602</v>
      </c>
      <c r="F180" s="1" t="s">
        <v>603</v>
      </c>
      <c r="G180" s="1" t="s">
        <v>29</v>
      </c>
      <c r="H180" s="1" t="s">
        <v>141</v>
      </c>
      <c r="I180" s="1" t="s">
        <v>95</v>
      </c>
      <c r="J180" s="1" t="s">
        <v>48</v>
      </c>
      <c r="K180" s="1" t="s">
        <v>142</v>
      </c>
      <c r="L180" s="1" t="s">
        <v>123</v>
      </c>
      <c r="M180" s="1" t="s">
        <v>142</v>
      </c>
      <c r="N180" s="1" t="s">
        <v>126</v>
      </c>
      <c r="O180" s="1" t="s">
        <v>128</v>
      </c>
      <c r="P180" s="1" t="s">
        <v>130</v>
      </c>
      <c r="Q180" s="1" t="s">
        <v>86</v>
      </c>
      <c r="R180" s="1" t="s">
        <v>50</v>
      </c>
      <c r="S180" s="1" t="s">
        <v>656</v>
      </c>
      <c r="T180" s="1" t="s">
        <v>34</v>
      </c>
      <c r="U180" s="1" t="s">
        <v>44</v>
      </c>
      <c r="V180" s="1" t="s">
        <v>34</v>
      </c>
    </row>
    <row r="181" spans="1:22" x14ac:dyDescent="0.25">
      <c r="A181" s="1" t="s">
        <v>29</v>
      </c>
      <c r="B181" s="1" t="s">
        <v>604</v>
      </c>
      <c r="C181" s="1" t="s">
        <v>104</v>
      </c>
      <c r="D181" s="1" t="s">
        <v>105</v>
      </c>
      <c r="E181" s="1" t="s">
        <v>605</v>
      </c>
      <c r="F181" s="1" t="s">
        <v>606</v>
      </c>
      <c r="G181" s="1" t="s">
        <v>29</v>
      </c>
      <c r="H181" s="1" t="s">
        <v>141</v>
      </c>
      <c r="I181" s="1" t="s">
        <v>95</v>
      </c>
      <c r="J181" s="1" t="s">
        <v>48</v>
      </c>
      <c r="K181" s="1" t="s">
        <v>142</v>
      </c>
      <c r="L181" s="1" t="s">
        <v>123</v>
      </c>
      <c r="M181" s="1" t="s">
        <v>142</v>
      </c>
      <c r="N181" s="1" t="s">
        <v>126</v>
      </c>
      <c r="O181" s="1" t="s">
        <v>128</v>
      </c>
      <c r="P181" s="1" t="s">
        <v>130</v>
      </c>
      <c r="Q181" s="1" t="s">
        <v>86</v>
      </c>
      <c r="R181" s="1" t="s">
        <v>50</v>
      </c>
      <c r="S181" s="1" t="s">
        <v>656</v>
      </c>
      <c r="T181" s="1" t="s">
        <v>34</v>
      </c>
      <c r="U181" s="1" t="s">
        <v>44</v>
      </c>
      <c r="V181" s="1" t="s">
        <v>34</v>
      </c>
    </row>
    <row r="182" spans="1:22" x14ac:dyDescent="0.25">
      <c r="A182" s="1" t="s">
        <v>29</v>
      </c>
      <c r="B182" s="1" t="s">
        <v>607</v>
      </c>
      <c r="C182" s="1" t="s">
        <v>104</v>
      </c>
      <c r="D182" s="1" t="s">
        <v>105</v>
      </c>
      <c r="E182" s="1" t="s">
        <v>608</v>
      </c>
      <c r="F182" s="1" t="s">
        <v>609</v>
      </c>
      <c r="G182" s="1" t="s">
        <v>29</v>
      </c>
      <c r="H182" s="1" t="s">
        <v>141</v>
      </c>
      <c r="I182" s="1" t="s">
        <v>95</v>
      </c>
      <c r="J182" s="1" t="s">
        <v>48</v>
      </c>
      <c r="K182" s="1" t="s">
        <v>142</v>
      </c>
      <c r="L182" s="1" t="s">
        <v>123</v>
      </c>
      <c r="M182" s="1" t="s">
        <v>142</v>
      </c>
      <c r="N182" s="1" t="s">
        <v>126</v>
      </c>
      <c r="O182" s="1" t="s">
        <v>128</v>
      </c>
      <c r="P182" s="1" t="s">
        <v>130</v>
      </c>
      <c r="Q182" s="1" t="s">
        <v>86</v>
      </c>
      <c r="R182" s="1" t="s">
        <v>50</v>
      </c>
      <c r="S182" s="1" t="s">
        <v>656</v>
      </c>
      <c r="T182" s="1" t="s">
        <v>34</v>
      </c>
      <c r="U182" s="1" t="s">
        <v>44</v>
      </c>
      <c r="V182" s="1" t="s">
        <v>34</v>
      </c>
    </row>
    <row r="183" spans="1:22" x14ac:dyDescent="0.25">
      <c r="A183" s="1" t="s">
        <v>29</v>
      </c>
      <c r="B183" s="1" t="s">
        <v>610</v>
      </c>
      <c r="C183" s="1" t="s">
        <v>104</v>
      </c>
      <c r="D183" s="1" t="s">
        <v>105</v>
      </c>
      <c r="E183" s="1" t="s">
        <v>611</v>
      </c>
      <c r="F183" s="1" t="s">
        <v>612</v>
      </c>
      <c r="G183" s="1" t="s">
        <v>29</v>
      </c>
      <c r="H183" s="1" t="s">
        <v>141</v>
      </c>
      <c r="I183" s="1" t="s">
        <v>95</v>
      </c>
      <c r="J183" s="1" t="s">
        <v>48</v>
      </c>
      <c r="K183" s="1" t="s">
        <v>142</v>
      </c>
      <c r="L183" s="1" t="s">
        <v>123</v>
      </c>
      <c r="M183" s="1" t="s">
        <v>142</v>
      </c>
      <c r="N183" s="1" t="s">
        <v>126</v>
      </c>
      <c r="O183" s="1" t="s">
        <v>128</v>
      </c>
      <c r="P183" s="1" t="s">
        <v>130</v>
      </c>
      <c r="Q183" s="1" t="s">
        <v>86</v>
      </c>
      <c r="R183" s="1" t="s">
        <v>50</v>
      </c>
      <c r="S183" s="1" t="s">
        <v>656</v>
      </c>
      <c r="T183" s="1" t="s">
        <v>34</v>
      </c>
      <c r="U183" s="1" t="s">
        <v>44</v>
      </c>
      <c r="V183" s="1" t="s">
        <v>34</v>
      </c>
    </row>
    <row r="184" spans="1:22" x14ac:dyDescent="0.25">
      <c r="A184" s="1" t="s">
        <v>29</v>
      </c>
      <c r="B184" s="1" t="s">
        <v>613</v>
      </c>
      <c r="C184" s="1" t="s">
        <v>104</v>
      </c>
      <c r="D184" s="1" t="s">
        <v>105</v>
      </c>
      <c r="E184" s="1" t="s">
        <v>614</v>
      </c>
      <c r="F184" s="1" t="s">
        <v>615</v>
      </c>
      <c r="G184" s="1" t="s">
        <v>29</v>
      </c>
      <c r="H184" s="1" t="s">
        <v>141</v>
      </c>
      <c r="I184" s="1" t="s">
        <v>95</v>
      </c>
      <c r="J184" s="1" t="s">
        <v>48</v>
      </c>
      <c r="K184" s="1" t="s">
        <v>142</v>
      </c>
      <c r="L184" s="1" t="s">
        <v>123</v>
      </c>
      <c r="M184" s="1" t="s">
        <v>142</v>
      </c>
      <c r="N184" s="1" t="s">
        <v>126</v>
      </c>
      <c r="O184" s="1" t="s">
        <v>128</v>
      </c>
      <c r="P184" s="1" t="s">
        <v>130</v>
      </c>
      <c r="Q184" s="1" t="s">
        <v>86</v>
      </c>
      <c r="R184" s="1" t="s">
        <v>50</v>
      </c>
      <c r="S184" s="1" t="s">
        <v>656</v>
      </c>
      <c r="T184" s="1" t="s">
        <v>34</v>
      </c>
      <c r="U184" s="1" t="s">
        <v>44</v>
      </c>
      <c r="V184" s="1" t="s">
        <v>34</v>
      </c>
    </row>
    <row r="185" spans="1:22" x14ac:dyDescent="0.25">
      <c r="A185" s="1" t="s">
        <v>29</v>
      </c>
      <c r="B185" s="1" t="s">
        <v>616</v>
      </c>
      <c r="C185" s="1" t="s">
        <v>104</v>
      </c>
      <c r="D185" s="1" t="s">
        <v>105</v>
      </c>
      <c r="E185" s="1" t="s">
        <v>617</v>
      </c>
      <c r="F185" s="1" t="s">
        <v>618</v>
      </c>
      <c r="G185" s="1" t="s">
        <v>29</v>
      </c>
      <c r="H185" s="1" t="s">
        <v>141</v>
      </c>
      <c r="I185" s="1" t="s">
        <v>95</v>
      </c>
      <c r="J185" s="1" t="s">
        <v>48</v>
      </c>
      <c r="K185" s="1" t="s">
        <v>142</v>
      </c>
      <c r="L185" s="1" t="s">
        <v>123</v>
      </c>
      <c r="M185" s="1" t="s">
        <v>142</v>
      </c>
      <c r="N185" s="1" t="s">
        <v>126</v>
      </c>
      <c r="O185" s="1" t="s">
        <v>128</v>
      </c>
      <c r="P185" s="1" t="s">
        <v>130</v>
      </c>
      <c r="Q185" s="1" t="s">
        <v>86</v>
      </c>
      <c r="R185" s="1" t="s">
        <v>50</v>
      </c>
      <c r="S185" s="1" t="s">
        <v>656</v>
      </c>
      <c r="T185" s="1" t="s">
        <v>34</v>
      </c>
      <c r="U185" s="1" t="s">
        <v>44</v>
      </c>
      <c r="V185" s="1" t="s">
        <v>34</v>
      </c>
    </row>
    <row r="186" spans="1:22" x14ac:dyDescent="0.25">
      <c r="A186" s="1" t="s">
        <v>29</v>
      </c>
      <c r="B186" s="1" t="s">
        <v>619</v>
      </c>
      <c r="C186" s="1" t="s">
        <v>104</v>
      </c>
      <c r="D186" s="1" t="s">
        <v>105</v>
      </c>
      <c r="E186" s="1" t="s">
        <v>620</v>
      </c>
      <c r="F186" s="1" t="s">
        <v>621</v>
      </c>
      <c r="G186" s="1" t="s">
        <v>29</v>
      </c>
      <c r="H186" s="1" t="s">
        <v>141</v>
      </c>
      <c r="I186" s="1" t="s">
        <v>95</v>
      </c>
      <c r="J186" s="1" t="s">
        <v>48</v>
      </c>
      <c r="K186" s="1" t="s">
        <v>142</v>
      </c>
      <c r="L186" s="1" t="s">
        <v>123</v>
      </c>
      <c r="M186" s="1" t="s">
        <v>142</v>
      </c>
      <c r="N186" s="1" t="s">
        <v>126</v>
      </c>
      <c r="O186" s="1" t="s">
        <v>128</v>
      </c>
      <c r="P186" s="1" t="s">
        <v>130</v>
      </c>
      <c r="Q186" s="1" t="s">
        <v>86</v>
      </c>
      <c r="R186" s="1" t="s">
        <v>50</v>
      </c>
      <c r="S186" s="1" t="s">
        <v>656</v>
      </c>
      <c r="T186" s="1" t="s">
        <v>34</v>
      </c>
      <c r="U186" s="1" t="s">
        <v>44</v>
      </c>
      <c r="V186" s="1" t="s">
        <v>34</v>
      </c>
    </row>
    <row r="187" spans="1:22" x14ac:dyDescent="0.25">
      <c r="A187" s="1" t="s">
        <v>29</v>
      </c>
      <c r="B187" s="1" t="s">
        <v>622</v>
      </c>
      <c r="C187" s="1" t="s">
        <v>104</v>
      </c>
      <c r="D187" s="1" t="s">
        <v>105</v>
      </c>
      <c r="E187" s="1" t="s">
        <v>623</v>
      </c>
      <c r="F187" s="1" t="s">
        <v>624</v>
      </c>
      <c r="G187" s="1" t="s">
        <v>29</v>
      </c>
      <c r="H187" s="1" t="s">
        <v>141</v>
      </c>
      <c r="I187" s="1" t="s">
        <v>95</v>
      </c>
      <c r="J187" s="1" t="s">
        <v>48</v>
      </c>
      <c r="K187" s="1" t="s">
        <v>142</v>
      </c>
      <c r="L187" s="1" t="s">
        <v>123</v>
      </c>
      <c r="M187" s="1" t="s">
        <v>142</v>
      </c>
      <c r="N187" s="1" t="s">
        <v>126</v>
      </c>
      <c r="O187" s="1" t="s">
        <v>128</v>
      </c>
      <c r="P187" s="1" t="s">
        <v>130</v>
      </c>
      <c r="Q187" s="1" t="s">
        <v>86</v>
      </c>
      <c r="R187" s="1" t="s">
        <v>50</v>
      </c>
      <c r="S187" s="1" t="s">
        <v>656</v>
      </c>
      <c r="T187" s="1" t="s">
        <v>34</v>
      </c>
      <c r="U187" s="1" t="s">
        <v>44</v>
      </c>
      <c r="V187" s="1" t="s">
        <v>34</v>
      </c>
    </row>
    <row r="188" spans="1:22" x14ac:dyDescent="0.25">
      <c r="A188" s="1" t="s">
        <v>29</v>
      </c>
      <c r="B188" s="1" t="s">
        <v>625</v>
      </c>
      <c r="C188" s="1" t="s">
        <v>104</v>
      </c>
      <c r="D188" s="1" t="s">
        <v>107</v>
      </c>
      <c r="E188" s="1" t="s">
        <v>626</v>
      </c>
      <c r="F188" s="1" t="s">
        <v>627</v>
      </c>
      <c r="G188" s="1" t="s">
        <v>29</v>
      </c>
      <c r="H188" s="1" t="s">
        <v>141</v>
      </c>
      <c r="I188" s="1" t="s">
        <v>96</v>
      </c>
      <c r="J188" s="1" t="s">
        <v>48</v>
      </c>
      <c r="K188" s="1" t="s">
        <v>142</v>
      </c>
      <c r="L188" s="1" t="s">
        <v>123</v>
      </c>
      <c r="M188" s="1" t="s">
        <v>142</v>
      </c>
      <c r="N188" s="1" t="s">
        <v>126</v>
      </c>
      <c r="O188" s="1" t="s">
        <v>128</v>
      </c>
      <c r="P188" s="1" t="s">
        <v>130</v>
      </c>
      <c r="Q188" s="1" t="s">
        <v>86</v>
      </c>
      <c r="R188" s="1" t="s">
        <v>50</v>
      </c>
      <c r="S188" s="1" t="s">
        <v>656</v>
      </c>
      <c r="T188" s="1" t="s">
        <v>34</v>
      </c>
      <c r="U188" s="1" t="s">
        <v>44</v>
      </c>
      <c r="V188" s="1" t="s">
        <v>34</v>
      </c>
    </row>
    <row r="189" spans="1:22" x14ac:dyDescent="0.25">
      <c r="A189" s="1" t="s">
        <v>29</v>
      </c>
      <c r="B189" s="1" t="s">
        <v>628</v>
      </c>
      <c r="C189" s="1" t="s">
        <v>104</v>
      </c>
      <c r="D189" s="1" t="s">
        <v>107</v>
      </c>
      <c r="E189" s="1" t="s">
        <v>629</v>
      </c>
      <c r="F189" s="1" t="s">
        <v>630</v>
      </c>
      <c r="G189" s="1" t="s">
        <v>29</v>
      </c>
      <c r="H189" s="1" t="s">
        <v>141</v>
      </c>
      <c r="I189" s="1" t="s">
        <v>96</v>
      </c>
      <c r="J189" s="1" t="s">
        <v>48</v>
      </c>
      <c r="K189" s="1" t="s">
        <v>142</v>
      </c>
      <c r="L189" s="1" t="s">
        <v>123</v>
      </c>
      <c r="M189" s="1" t="s">
        <v>142</v>
      </c>
      <c r="N189" s="1" t="s">
        <v>126</v>
      </c>
      <c r="O189" s="1" t="s">
        <v>128</v>
      </c>
      <c r="P189" s="1" t="s">
        <v>130</v>
      </c>
      <c r="Q189" s="1" t="s">
        <v>86</v>
      </c>
      <c r="R189" s="1" t="s">
        <v>50</v>
      </c>
      <c r="S189" s="1" t="s">
        <v>656</v>
      </c>
      <c r="T189" s="1" t="s">
        <v>34</v>
      </c>
      <c r="U189" s="1" t="s">
        <v>44</v>
      </c>
      <c r="V189" s="1" t="s">
        <v>34</v>
      </c>
    </row>
    <row r="190" spans="1:22" x14ac:dyDescent="0.25">
      <c r="A190" s="1" t="s">
        <v>29</v>
      </c>
      <c r="B190" s="1" t="s">
        <v>631</v>
      </c>
      <c r="C190" s="1" t="s">
        <v>104</v>
      </c>
      <c r="D190" s="1" t="s">
        <v>107</v>
      </c>
      <c r="E190" s="1" t="s">
        <v>632</v>
      </c>
      <c r="F190" s="1" t="s">
        <v>633</v>
      </c>
      <c r="G190" s="1" t="s">
        <v>29</v>
      </c>
      <c r="H190" s="1" t="s">
        <v>141</v>
      </c>
      <c r="I190" s="1" t="s">
        <v>96</v>
      </c>
      <c r="J190" s="1" t="s">
        <v>48</v>
      </c>
      <c r="K190" s="1" t="s">
        <v>142</v>
      </c>
      <c r="L190" s="1" t="s">
        <v>123</v>
      </c>
      <c r="M190" s="1" t="s">
        <v>142</v>
      </c>
      <c r="N190" s="1" t="s">
        <v>126</v>
      </c>
      <c r="O190" s="1" t="s">
        <v>128</v>
      </c>
      <c r="P190" s="1" t="s">
        <v>130</v>
      </c>
      <c r="Q190" s="1" t="s">
        <v>86</v>
      </c>
      <c r="R190" s="1" t="s">
        <v>50</v>
      </c>
      <c r="S190" s="1" t="s">
        <v>656</v>
      </c>
      <c r="T190" s="1" t="s">
        <v>34</v>
      </c>
      <c r="U190" s="1" t="s">
        <v>44</v>
      </c>
      <c r="V190" s="1" t="s">
        <v>34</v>
      </c>
    </row>
    <row r="191" spans="1:22" x14ac:dyDescent="0.25">
      <c r="A191" s="1" t="s">
        <v>29</v>
      </c>
      <c r="B191" s="1" t="s">
        <v>634</v>
      </c>
      <c r="C191" s="1" t="s">
        <v>104</v>
      </c>
      <c r="D191" s="1" t="s">
        <v>107</v>
      </c>
      <c r="E191" s="1" t="s">
        <v>635</v>
      </c>
      <c r="F191" s="1" t="s">
        <v>636</v>
      </c>
      <c r="G191" s="1" t="s">
        <v>29</v>
      </c>
      <c r="H191" s="1" t="s">
        <v>141</v>
      </c>
      <c r="I191" s="1" t="s">
        <v>96</v>
      </c>
      <c r="J191" s="1" t="s">
        <v>48</v>
      </c>
      <c r="K191" s="1" t="s">
        <v>142</v>
      </c>
      <c r="L191" s="1" t="s">
        <v>123</v>
      </c>
      <c r="M191" s="1" t="s">
        <v>142</v>
      </c>
      <c r="N191" s="1" t="s">
        <v>126</v>
      </c>
      <c r="O191" s="1" t="s">
        <v>128</v>
      </c>
      <c r="P191" s="1" t="s">
        <v>130</v>
      </c>
      <c r="Q191" s="1" t="s">
        <v>86</v>
      </c>
      <c r="R191" s="1" t="s">
        <v>50</v>
      </c>
      <c r="S191" s="1" t="s">
        <v>656</v>
      </c>
      <c r="T191" s="1" t="s">
        <v>34</v>
      </c>
      <c r="U191" s="1" t="s">
        <v>44</v>
      </c>
      <c r="V191" s="1" t="s">
        <v>34</v>
      </c>
    </row>
    <row r="192" spans="1:22" x14ac:dyDescent="0.25">
      <c r="A192" s="1" t="s">
        <v>29</v>
      </c>
      <c r="B192" s="1" t="s">
        <v>637</v>
      </c>
      <c r="C192" s="1" t="s">
        <v>104</v>
      </c>
      <c r="D192" s="1" t="s">
        <v>107</v>
      </c>
      <c r="E192" s="1" t="s">
        <v>638</v>
      </c>
      <c r="F192" s="1" t="s">
        <v>639</v>
      </c>
      <c r="G192" s="1" t="s">
        <v>29</v>
      </c>
      <c r="H192" s="1" t="s">
        <v>141</v>
      </c>
      <c r="I192" s="1" t="s">
        <v>96</v>
      </c>
      <c r="J192" s="1" t="s">
        <v>48</v>
      </c>
      <c r="K192" s="1" t="s">
        <v>142</v>
      </c>
      <c r="L192" s="1" t="s">
        <v>123</v>
      </c>
      <c r="M192" s="1" t="s">
        <v>142</v>
      </c>
      <c r="N192" s="1" t="s">
        <v>126</v>
      </c>
      <c r="O192" s="1" t="s">
        <v>128</v>
      </c>
      <c r="P192" s="1" t="s">
        <v>130</v>
      </c>
      <c r="Q192" s="1" t="s">
        <v>86</v>
      </c>
      <c r="R192" s="1" t="s">
        <v>50</v>
      </c>
      <c r="S192" s="1" t="s">
        <v>656</v>
      </c>
      <c r="T192" s="1" t="s">
        <v>34</v>
      </c>
      <c r="U192" s="1" t="s">
        <v>44</v>
      </c>
      <c r="V192" s="1" t="s">
        <v>34</v>
      </c>
    </row>
    <row r="193" spans="1:22" x14ac:dyDescent="0.25">
      <c r="A193" s="1" t="s">
        <v>29</v>
      </c>
      <c r="B193" s="1" t="s">
        <v>640</v>
      </c>
      <c r="C193" s="1" t="s">
        <v>104</v>
      </c>
      <c r="D193" s="1" t="s">
        <v>107</v>
      </c>
      <c r="E193" s="1" t="s">
        <v>641</v>
      </c>
      <c r="F193" s="1" t="s">
        <v>642</v>
      </c>
      <c r="G193" s="1" t="s">
        <v>29</v>
      </c>
      <c r="H193" s="1" t="s">
        <v>141</v>
      </c>
      <c r="I193" s="1" t="s">
        <v>96</v>
      </c>
      <c r="J193" s="1" t="s">
        <v>48</v>
      </c>
      <c r="K193" s="1" t="s">
        <v>142</v>
      </c>
      <c r="L193" s="1" t="s">
        <v>123</v>
      </c>
      <c r="M193" s="1" t="s">
        <v>142</v>
      </c>
      <c r="N193" s="1" t="s">
        <v>126</v>
      </c>
      <c r="O193" s="1" t="s">
        <v>128</v>
      </c>
      <c r="P193" s="1" t="s">
        <v>130</v>
      </c>
      <c r="Q193" s="1" t="s">
        <v>86</v>
      </c>
      <c r="R193" s="1" t="s">
        <v>50</v>
      </c>
      <c r="S193" s="1" t="s">
        <v>656</v>
      </c>
      <c r="T193" s="1" t="s">
        <v>34</v>
      </c>
      <c r="U193" s="1" t="s">
        <v>44</v>
      </c>
      <c r="V193" s="1" t="s">
        <v>34</v>
      </c>
    </row>
    <row r="194" spans="1:22" x14ac:dyDescent="0.25">
      <c r="A194" s="1" t="s">
        <v>29</v>
      </c>
      <c r="B194" s="1" t="s">
        <v>643</v>
      </c>
      <c r="C194" s="1" t="s">
        <v>104</v>
      </c>
      <c r="D194" s="1" t="s">
        <v>107</v>
      </c>
      <c r="E194" s="1" t="s">
        <v>644</v>
      </c>
      <c r="F194" s="1" t="s">
        <v>645</v>
      </c>
      <c r="G194" s="1" t="s">
        <v>29</v>
      </c>
      <c r="H194" s="1" t="s">
        <v>141</v>
      </c>
      <c r="I194" s="1" t="s">
        <v>96</v>
      </c>
      <c r="J194" s="1" t="s">
        <v>48</v>
      </c>
      <c r="K194" s="1" t="s">
        <v>142</v>
      </c>
      <c r="L194" s="1" t="s">
        <v>123</v>
      </c>
      <c r="M194" s="1" t="s">
        <v>142</v>
      </c>
      <c r="N194" s="1" t="s">
        <v>126</v>
      </c>
      <c r="O194" s="1" t="s">
        <v>128</v>
      </c>
      <c r="P194" s="1" t="s">
        <v>130</v>
      </c>
      <c r="Q194" s="1" t="s">
        <v>86</v>
      </c>
      <c r="R194" s="1" t="s">
        <v>50</v>
      </c>
      <c r="S194" s="1" t="s">
        <v>656</v>
      </c>
      <c r="T194" s="1" t="s">
        <v>34</v>
      </c>
      <c r="U194" s="1" t="s">
        <v>44</v>
      </c>
      <c r="V194" s="1" t="s">
        <v>34</v>
      </c>
    </row>
    <row r="195" spans="1:22" x14ac:dyDescent="0.25">
      <c r="A195" s="1" t="s">
        <v>29</v>
      </c>
      <c r="B195" s="1" t="s">
        <v>646</v>
      </c>
      <c r="C195" s="1" t="s">
        <v>104</v>
      </c>
      <c r="D195" s="1" t="s">
        <v>107</v>
      </c>
      <c r="E195" s="1" t="s">
        <v>647</v>
      </c>
      <c r="F195" s="1" t="s">
        <v>648</v>
      </c>
      <c r="G195" s="1" t="s">
        <v>29</v>
      </c>
      <c r="H195" s="1" t="s">
        <v>141</v>
      </c>
      <c r="I195" s="1" t="s">
        <v>96</v>
      </c>
      <c r="J195" s="1" t="s">
        <v>48</v>
      </c>
      <c r="K195" s="1" t="s">
        <v>142</v>
      </c>
      <c r="L195" s="1" t="s">
        <v>123</v>
      </c>
      <c r="M195" s="1" t="s">
        <v>142</v>
      </c>
      <c r="N195" s="1" t="s">
        <v>126</v>
      </c>
      <c r="O195" s="1" t="s">
        <v>128</v>
      </c>
      <c r="P195" s="1" t="s">
        <v>130</v>
      </c>
      <c r="Q195" s="1" t="s">
        <v>86</v>
      </c>
      <c r="R195" s="1" t="s">
        <v>50</v>
      </c>
      <c r="S195" s="1" t="s">
        <v>656</v>
      </c>
      <c r="T195" s="1" t="s">
        <v>34</v>
      </c>
      <c r="U195" s="1" t="s">
        <v>44</v>
      </c>
      <c r="V195" s="1" t="s">
        <v>34</v>
      </c>
    </row>
    <row r="196" spans="1:22" x14ac:dyDescent="0.25">
      <c r="A196" s="1" t="s">
        <v>29</v>
      </c>
      <c r="B196" s="1" t="s">
        <v>649</v>
      </c>
      <c r="C196" s="1" t="s">
        <v>104</v>
      </c>
      <c r="D196" s="1" t="s">
        <v>107</v>
      </c>
      <c r="E196" s="1" t="s">
        <v>650</v>
      </c>
      <c r="F196" s="1" t="s">
        <v>651</v>
      </c>
      <c r="G196" s="1" t="s">
        <v>29</v>
      </c>
      <c r="H196" s="1" t="s">
        <v>141</v>
      </c>
      <c r="I196" s="1" t="s">
        <v>96</v>
      </c>
      <c r="J196" s="1" t="s">
        <v>48</v>
      </c>
      <c r="K196" s="1" t="s">
        <v>142</v>
      </c>
      <c r="L196" s="1" t="s">
        <v>123</v>
      </c>
      <c r="M196" s="1" t="s">
        <v>142</v>
      </c>
      <c r="N196" s="1" t="s">
        <v>126</v>
      </c>
      <c r="O196" s="1" t="s">
        <v>128</v>
      </c>
      <c r="P196" s="1" t="s">
        <v>130</v>
      </c>
      <c r="Q196" s="1" t="s">
        <v>86</v>
      </c>
      <c r="R196" s="1" t="s">
        <v>50</v>
      </c>
      <c r="S196" s="1" t="s">
        <v>656</v>
      </c>
      <c r="T196" s="1" t="s">
        <v>34</v>
      </c>
      <c r="U196" s="1" t="s">
        <v>44</v>
      </c>
      <c r="V196" s="1" t="s">
        <v>34</v>
      </c>
    </row>
    <row r="197" spans="1:22" x14ac:dyDescent="0.25">
      <c r="A197" s="1" t="s">
        <v>29</v>
      </c>
      <c r="B197" s="1" t="s">
        <v>652</v>
      </c>
      <c r="C197" s="1" t="s">
        <v>104</v>
      </c>
      <c r="D197" s="1" t="s">
        <v>107</v>
      </c>
      <c r="E197" s="1" t="s">
        <v>653</v>
      </c>
      <c r="F197" s="1" t="s">
        <v>654</v>
      </c>
      <c r="G197" s="1" t="s">
        <v>29</v>
      </c>
      <c r="H197" s="1" t="s">
        <v>141</v>
      </c>
      <c r="I197" s="1" t="s">
        <v>96</v>
      </c>
      <c r="J197" s="1" t="s">
        <v>48</v>
      </c>
      <c r="K197" s="1" t="s">
        <v>142</v>
      </c>
      <c r="L197" s="1" t="s">
        <v>123</v>
      </c>
      <c r="M197" s="1" t="s">
        <v>142</v>
      </c>
      <c r="N197" s="1" t="s">
        <v>126</v>
      </c>
      <c r="O197" s="1" t="s">
        <v>128</v>
      </c>
      <c r="P197" s="1" t="s">
        <v>130</v>
      </c>
      <c r="Q197" s="1" t="s">
        <v>86</v>
      </c>
      <c r="R197" s="1" t="s">
        <v>50</v>
      </c>
      <c r="S197" s="1" t="s">
        <v>656</v>
      </c>
      <c r="T197" s="1" t="s">
        <v>34</v>
      </c>
      <c r="U197" s="1" t="s">
        <v>44</v>
      </c>
      <c r="V197" s="1" t="s">
        <v>34</v>
      </c>
    </row>
    <row r="198" spans="1:22" x14ac:dyDescent="0.25">
      <c r="A198" s="1"/>
      <c r="B198" s="1"/>
      <c r="C198" s="1"/>
      <c r="D198" s="1"/>
      <c r="E198" s="1"/>
      <c r="F198" s="1"/>
      <c r="G198" s="1"/>
      <c r="H198" s="1"/>
      <c r="I198" s="1"/>
      <c r="J198" s="1"/>
      <c r="K198" s="1"/>
      <c r="L198" s="1"/>
      <c r="M198" s="1"/>
      <c r="N198" s="1"/>
      <c r="O198" s="1"/>
      <c r="P198" s="1"/>
      <c r="Q198" s="1"/>
      <c r="R198" s="1"/>
      <c r="S198" s="1"/>
      <c r="T198" s="1"/>
      <c r="U198" s="1"/>
    </row>
    <row r="199" spans="1:22" x14ac:dyDescent="0.25">
      <c r="A199" s="1"/>
      <c r="B199" s="1"/>
      <c r="C199" s="1"/>
      <c r="D199" s="1"/>
      <c r="E199" s="1"/>
      <c r="F199" s="1"/>
      <c r="G199" s="1"/>
      <c r="H199" s="1"/>
      <c r="I199" s="1"/>
      <c r="J199" s="1"/>
      <c r="K199" s="1"/>
      <c r="L199" s="1"/>
      <c r="M199" s="1"/>
      <c r="N199" s="1"/>
      <c r="O199" s="1"/>
      <c r="P199" s="1"/>
      <c r="Q199" s="1"/>
      <c r="R199" s="1"/>
      <c r="S199" s="1"/>
      <c r="T199" s="1"/>
      <c r="U199" s="1"/>
    </row>
    <row r="200" spans="1:22" x14ac:dyDescent="0.25">
      <c r="A200" s="1"/>
      <c r="B200" s="1"/>
      <c r="C200" s="1"/>
      <c r="D200" s="1"/>
      <c r="E200" s="1"/>
      <c r="F200" s="1"/>
      <c r="G200" s="1"/>
      <c r="H200" s="1"/>
      <c r="I200" s="1"/>
      <c r="J200" s="1"/>
      <c r="K200" s="1"/>
      <c r="L200" s="1"/>
      <c r="M200" s="1"/>
      <c r="N200" s="1"/>
      <c r="O200" s="1"/>
      <c r="P200" s="1"/>
      <c r="Q200" s="1"/>
      <c r="R200" s="1"/>
      <c r="S200" s="1"/>
      <c r="T200" s="1"/>
      <c r="U200" s="1"/>
    </row>
    <row r="201" spans="1:22" x14ac:dyDescent="0.25">
      <c r="A201" s="1"/>
      <c r="B201" s="1"/>
      <c r="C201" s="1"/>
      <c r="D201" s="1"/>
      <c r="E201" s="1"/>
      <c r="F201" s="1"/>
      <c r="G201" s="1"/>
      <c r="H201" s="1"/>
      <c r="I201" s="1"/>
      <c r="J201" s="1"/>
      <c r="K201" s="1"/>
      <c r="L201" s="1"/>
      <c r="M201" s="1"/>
      <c r="N201" s="1"/>
      <c r="O201" s="1"/>
      <c r="P201" s="1"/>
      <c r="Q201" s="1"/>
      <c r="R201" s="1"/>
      <c r="S201" s="1"/>
      <c r="T201" s="1"/>
      <c r="U201" s="1"/>
    </row>
    <row r="202" spans="1:22" x14ac:dyDescent="0.25">
      <c r="A202" s="1"/>
      <c r="B202" s="1"/>
      <c r="C202" s="1"/>
      <c r="D202" s="1"/>
      <c r="E202" s="1"/>
      <c r="F202" s="1"/>
      <c r="G202" s="1"/>
      <c r="H202" s="1"/>
      <c r="I202" s="1"/>
      <c r="J202" s="1"/>
      <c r="K202" s="1"/>
      <c r="L202" s="1"/>
      <c r="M202" s="1"/>
      <c r="N202" s="1"/>
      <c r="O202" s="1"/>
      <c r="P202" s="1"/>
      <c r="Q202" s="1"/>
      <c r="R202" s="1"/>
      <c r="S202" s="1"/>
      <c r="T202" s="1"/>
      <c r="U202" s="1"/>
    </row>
    <row r="203" spans="1:22" x14ac:dyDescent="0.25">
      <c r="A203" s="1"/>
      <c r="B203" s="1"/>
      <c r="C203" s="1"/>
      <c r="D203" s="1"/>
      <c r="E203" s="1"/>
      <c r="F203" s="1"/>
      <c r="G203" s="1"/>
      <c r="H203" s="1"/>
      <c r="I203" s="1"/>
      <c r="J203" s="1"/>
      <c r="K203" s="1"/>
      <c r="L203" s="1"/>
      <c r="M203" s="1"/>
      <c r="N203" s="1"/>
      <c r="O203" s="1"/>
      <c r="P203" s="1"/>
      <c r="Q203" s="1"/>
      <c r="R203" s="1"/>
      <c r="S203" s="1"/>
      <c r="T203" s="1"/>
      <c r="U203" s="1"/>
    </row>
    <row r="204" spans="1:22" x14ac:dyDescent="0.25">
      <c r="A204" s="1"/>
      <c r="B204" s="1"/>
      <c r="C204" s="1"/>
      <c r="D204" s="1"/>
      <c r="E204" s="1"/>
      <c r="F204" s="1"/>
      <c r="G204" s="1"/>
      <c r="H204" s="1"/>
      <c r="I204" s="1"/>
      <c r="J204" s="1"/>
      <c r="K204" s="1"/>
      <c r="L204" s="1"/>
      <c r="M204" s="1"/>
      <c r="N204" s="1"/>
      <c r="O204" s="1"/>
      <c r="P204" s="1"/>
      <c r="Q204" s="1"/>
      <c r="R204" s="1"/>
      <c r="S204" s="1"/>
      <c r="T204" s="1"/>
      <c r="U204" s="1"/>
    </row>
    <row r="205" spans="1:22" x14ac:dyDescent="0.25">
      <c r="A205" s="1"/>
      <c r="B205" s="1"/>
      <c r="C205" s="1"/>
      <c r="D205" s="1"/>
      <c r="E205" s="1"/>
      <c r="F205" s="1"/>
      <c r="G205" s="1"/>
      <c r="H205" s="1"/>
      <c r="I205" s="1"/>
      <c r="J205" s="1"/>
      <c r="K205" s="1"/>
      <c r="L205" s="1"/>
      <c r="M205" s="1"/>
      <c r="N205" s="1"/>
      <c r="O205" s="1"/>
      <c r="P205" s="1"/>
      <c r="Q205" s="1"/>
      <c r="R205" s="1"/>
      <c r="S205" s="1"/>
      <c r="T205" s="1"/>
      <c r="U205" s="1"/>
    </row>
    <row r="206" spans="1:22" x14ac:dyDescent="0.25">
      <c r="A206" s="1"/>
      <c r="B206" s="1"/>
      <c r="C206" s="1"/>
      <c r="D206" s="1"/>
      <c r="E206" s="1"/>
      <c r="F206" s="1"/>
      <c r="G206" s="1"/>
      <c r="H206" s="1"/>
      <c r="I206" s="1"/>
      <c r="J206" s="1"/>
      <c r="K206" s="1"/>
      <c r="L206" s="1"/>
      <c r="M206" s="1"/>
      <c r="N206" s="1"/>
      <c r="O206" s="1"/>
      <c r="P206" s="1"/>
      <c r="Q206" s="1"/>
      <c r="R206" s="1"/>
      <c r="S206" s="1"/>
      <c r="T206" s="1"/>
      <c r="U206" s="1"/>
    </row>
    <row r="207" spans="1:22" x14ac:dyDescent="0.25">
      <c r="A207" s="1"/>
      <c r="B207" s="1"/>
      <c r="C207" s="1"/>
      <c r="D207" s="1"/>
      <c r="E207" s="1"/>
      <c r="F207" s="1"/>
      <c r="G207" s="1"/>
      <c r="H207" s="1"/>
      <c r="I207" s="1"/>
      <c r="J207" s="1"/>
      <c r="K207" s="1"/>
      <c r="L207" s="1"/>
      <c r="M207" s="1"/>
      <c r="N207" s="1"/>
      <c r="O207" s="1"/>
      <c r="P207" s="1"/>
      <c r="Q207" s="1"/>
      <c r="R207" s="1"/>
      <c r="S207" s="1"/>
      <c r="T207" s="1"/>
      <c r="U207" s="1"/>
    </row>
    <row r="208" spans="1:22"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c r="Q338" s="1"/>
      <c r="R338" s="1"/>
      <c r="S338" s="1"/>
      <c r="T338" s="1"/>
      <c r="U338" s="1"/>
    </row>
    <row r="339" spans="1:21" x14ac:dyDescent="0.25">
      <c r="A339" s="1"/>
      <c r="B339" s="1"/>
      <c r="C339" s="1"/>
      <c r="D339" s="1"/>
      <c r="E339" s="1"/>
      <c r="F339" s="1"/>
      <c r="G339" s="1"/>
      <c r="H339" s="1"/>
      <c r="I339" s="1"/>
      <c r="J339" s="1"/>
      <c r="K339" s="1"/>
      <c r="L339" s="1"/>
      <c r="M339" s="1"/>
      <c r="N339" s="1"/>
      <c r="O339" s="1"/>
      <c r="P339" s="1"/>
      <c r="Q339" s="1"/>
      <c r="R339" s="1"/>
      <c r="S339" s="1"/>
      <c r="T339" s="1"/>
      <c r="U339" s="1"/>
    </row>
    <row r="340" spans="1:21" x14ac:dyDescent="0.25">
      <c r="A340" s="1"/>
      <c r="B340" s="1"/>
      <c r="C340" s="1"/>
      <c r="D340" s="1"/>
      <c r="E340" s="1"/>
      <c r="F340" s="1"/>
      <c r="G340" s="1"/>
      <c r="H340" s="1"/>
      <c r="I340" s="1"/>
      <c r="J340" s="1"/>
      <c r="K340" s="1"/>
      <c r="L340" s="1"/>
      <c r="M340" s="1"/>
      <c r="N340" s="1"/>
      <c r="O340" s="1"/>
      <c r="P340" s="1"/>
      <c r="Q340" s="1"/>
      <c r="R340" s="1"/>
      <c r="S340" s="1"/>
      <c r="T340" s="1"/>
      <c r="U340" s="1"/>
    </row>
    <row r="341" spans="1:21" x14ac:dyDescent="0.25">
      <c r="A341" s="1"/>
      <c r="B341" s="1"/>
      <c r="C341" s="1"/>
      <c r="D341" s="1"/>
      <c r="E341" s="1"/>
      <c r="F341" s="1"/>
      <c r="G341" s="1"/>
      <c r="H341" s="1"/>
      <c r="I341" s="1"/>
      <c r="J341" s="1"/>
      <c r="K341" s="1"/>
      <c r="L341" s="1"/>
      <c r="M341" s="1"/>
      <c r="N341" s="1"/>
      <c r="O341" s="1"/>
      <c r="P341" s="1"/>
      <c r="Q341" s="1"/>
      <c r="R341" s="1"/>
      <c r="S341" s="1"/>
      <c r="T341" s="1"/>
      <c r="U341" s="1"/>
    </row>
    <row r="342" spans="1:21" x14ac:dyDescent="0.25">
      <c r="A342" s="1"/>
      <c r="B342" s="1"/>
      <c r="C342" s="1"/>
      <c r="D342" s="1"/>
      <c r="E342" s="1"/>
      <c r="F342" s="1"/>
      <c r="G342" s="1"/>
      <c r="H342" s="1"/>
      <c r="I342" s="1"/>
      <c r="J342" s="1"/>
      <c r="K342" s="1"/>
      <c r="L342" s="1"/>
      <c r="M342" s="1"/>
      <c r="N342" s="1"/>
      <c r="O342" s="1"/>
      <c r="P342" s="1"/>
      <c r="Q342" s="1"/>
      <c r="R342" s="1"/>
      <c r="S342" s="1"/>
      <c r="T342" s="1"/>
      <c r="U342" s="1"/>
    </row>
    <row r="343" spans="1:21" x14ac:dyDescent="0.25">
      <c r="A343" s="1"/>
      <c r="B343" s="1"/>
      <c r="C343" s="1"/>
      <c r="D343" s="1"/>
      <c r="E343" s="1"/>
      <c r="F343" s="1"/>
      <c r="G343" s="1"/>
      <c r="H343" s="1"/>
      <c r="I343" s="1"/>
      <c r="J343" s="1"/>
      <c r="K343" s="1"/>
      <c r="L343" s="1"/>
      <c r="M343" s="1"/>
      <c r="N343" s="1"/>
      <c r="O343" s="1"/>
      <c r="P343" s="1"/>
      <c r="Q343" s="1"/>
      <c r="R343" s="1"/>
      <c r="S343" s="1"/>
      <c r="T343" s="1"/>
      <c r="U343" s="1"/>
    </row>
    <row r="344" spans="1:21" x14ac:dyDescent="0.25">
      <c r="A344" s="1"/>
      <c r="B344" s="1"/>
      <c r="C344" s="1"/>
      <c r="D344" s="1"/>
      <c r="E344" s="1"/>
      <c r="F344" s="1"/>
      <c r="G344" s="1"/>
      <c r="H344" s="1"/>
      <c r="I344" s="1"/>
      <c r="J344" s="1"/>
      <c r="K344" s="1"/>
      <c r="L344" s="1"/>
      <c r="M344" s="1"/>
      <c r="N344" s="1"/>
      <c r="O344" s="1"/>
      <c r="P344" s="1"/>
      <c r="Q344" s="1"/>
      <c r="R344" s="1"/>
      <c r="S344" s="1"/>
      <c r="T344" s="1"/>
      <c r="U344" s="1"/>
    </row>
    <row r="345" spans="1:21" x14ac:dyDescent="0.25">
      <c r="A345" s="1"/>
      <c r="B345" s="1"/>
      <c r="C345" s="1"/>
      <c r="D345" s="1"/>
      <c r="E345" s="1"/>
      <c r="F345" s="1"/>
      <c r="G345" s="1"/>
      <c r="H345" s="1"/>
      <c r="I345" s="1"/>
      <c r="J345" s="1"/>
      <c r="K345" s="1"/>
      <c r="L345" s="1"/>
      <c r="M345" s="1"/>
      <c r="N345" s="1"/>
      <c r="O345" s="1"/>
      <c r="P345" s="1"/>
      <c r="Q345" s="1"/>
      <c r="R345" s="1"/>
      <c r="S345" s="1"/>
      <c r="T345" s="1"/>
      <c r="U345" s="1"/>
    </row>
    <row r="346" spans="1:21" x14ac:dyDescent="0.25">
      <c r="A346" s="1"/>
      <c r="B346" s="1"/>
      <c r="C346" s="1"/>
      <c r="D346" s="1"/>
      <c r="E346" s="1"/>
      <c r="F346" s="1"/>
      <c r="G346" s="1"/>
      <c r="H346" s="1"/>
      <c r="I346" s="1"/>
      <c r="J346" s="1"/>
      <c r="K346" s="1"/>
      <c r="L346" s="1"/>
      <c r="M346" s="1"/>
      <c r="N346" s="1"/>
      <c r="O346" s="1"/>
      <c r="P346" s="1"/>
      <c r="Q346" s="1"/>
      <c r="R346" s="1"/>
      <c r="S346" s="1"/>
      <c r="T346" s="1"/>
      <c r="U346" s="1"/>
    </row>
    <row r="347" spans="1:21" x14ac:dyDescent="0.25">
      <c r="A347" s="1"/>
      <c r="B347" s="1"/>
      <c r="C347" s="1"/>
      <c r="D347" s="1"/>
      <c r="E347" s="1"/>
      <c r="F347" s="1"/>
      <c r="G347" s="1"/>
      <c r="H347" s="1"/>
      <c r="I347" s="1"/>
      <c r="J347" s="1"/>
      <c r="K347" s="1"/>
      <c r="L347" s="1"/>
      <c r="M347" s="1"/>
      <c r="N347" s="1"/>
      <c r="O347" s="1"/>
      <c r="P347" s="1"/>
      <c r="Q347" s="1"/>
      <c r="R347" s="1"/>
      <c r="S347" s="1"/>
      <c r="T347" s="1"/>
      <c r="U347" s="1"/>
    </row>
    <row r="348" spans="1:21" x14ac:dyDescent="0.25">
      <c r="A348" s="1"/>
      <c r="B348" s="1"/>
      <c r="C348" s="1"/>
      <c r="D348" s="1"/>
      <c r="E348" s="1"/>
      <c r="F348" s="1"/>
      <c r="G348" s="1"/>
      <c r="H348" s="1"/>
      <c r="I348" s="1"/>
      <c r="J348" s="1"/>
      <c r="K348" s="1"/>
      <c r="L348" s="1"/>
      <c r="M348" s="1"/>
      <c r="N348" s="1"/>
      <c r="O348" s="1"/>
      <c r="P348" s="1"/>
      <c r="Q348" s="1"/>
      <c r="R348" s="1"/>
      <c r="S348" s="1"/>
      <c r="T348" s="1"/>
      <c r="U348" s="1"/>
    </row>
    <row r="349" spans="1:21" x14ac:dyDescent="0.25">
      <c r="A349" s="1"/>
      <c r="B349" s="1"/>
      <c r="C349" s="1"/>
      <c r="D349" s="1"/>
      <c r="E349" s="1"/>
      <c r="F349" s="1"/>
      <c r="G349" s="1"/>
      <c r="H349" s="1"/>
      <c r="I349" s="1"/>
      <c r="J349" s="1"/>
      <c r="K349" s="1"/>
      <c r="L349" s="1"/>
      <c r="M349" s="1"/>
      <c r="N349" s="1"/>
      <c r="O349" s="1"/>
      <c r="P349" s="1"/>
      <c r="Q349" s="1"/>
      <c r="R349" s="1"/>
      <c r="S349" s="1"/>
      <c r="T349" s="1"/>
      <c r="U349" s="1"/>
    </row>
    <row r="350" spans="1:21" x14ac:dyDescent="0.25">
      <c r="A350" s="1"/>
      <c r="B350" s="1"/>
      <c r="C350" s="1"/>
      <c r="D350" s="1"/>
      <c r="E350" s="1"/>
      <c r="F350" s="1"/>
      <c r="G350" s="1"/>
      <c r="H350" s="1"/>
      <c r="I350" s="1"/>
      <c r="J350" s="1"/>
      <c r="K350" s="1"/>
      <c r="L350" s="1"/>
      <c r="M350" s="1"/>
      <c r="N350" s="1"/>
      <c r="O350" s="1"/>
      <c r="P350" s="1"/>
      <c r="Q350" s="1"/>
      <c r="R350" s="1"/>
      <c r="S350" s="1"/>
      <c r="T350" s="1"/>
      <c r="U350" s="1"/>
    </row>
    <row r="351" spans="1:21" x14ac:dyDescent="0.25">
      <c r="A351" s="1"/>
      <c r="B351" s="1"/>
      <c r="C351" s="1"/>
      <c r="D351" s="1"/>
      <c r="E351" s="1"/>
      <c r="F351" s="1"/>
      <c r="G351" s="1"/>
      <c r="H351" s="1"/>
      <c r="I351" s="1"/>
      <c r="J351" s="1"/>
      <c r="K351" s="1"/>
      <c r="L351" s="1"/>
      <c r="M351" s="1"/>
      <c r="N351" s="1"/>
      <c r="O351" s="1"/>
      <c r="P351" s="1"/>
      <c r="Q351" s="1"/>
      <c r="R351" s="1"/>
      <c r="S351" s="1"/>
      <c r="T351" s="1"/>
      <c r="U351" s="1"/>
    </row>
    <row r="352" spans="1:21" x14ac:dyDescent="0.25">
      <c r="A352" s="1"/>
      <c r="B352" s="1"/>
      <c r="C352" s="1"/>
      <c r="D352" s="1"/>
      <c r="E352" s="1"/>
      <c r="F352" s="1"/>
      <c r="G352" s="1"/>
      <c r="H352" s="1"/>
      <c r="I352" s="1"/>
      <c r="J352" s="1"/>
      <c r="K352" s="1"/>
      <c r="L352" s="1"/>
      <c r="M352" s="1"/>
      <c r="N352" s="1"/>
      <c r="O352" s="1"/>
      <c r="P352" s="1"/>
      <c r="Q352" s="1"/>
      <c r="R352" s="1"/>
      <c r="S352" s="1"/>
      <c r="T352" s="1"/>
      <c r="U352" s="1"/>
    </row>
    <row r="353" spans="1:21" x14ac:dyDescent="0.25">
      <c r="A353" s="1"/>
      <c r="B353" s="1"/>
      <c r="C353" s="1"/>
      <c r="D353" s="1"/>
      <c r="E353" s="1"/>
      <c r="F353" s="1"/>
      <c r="G353" s="1"/>
      <c r="H353" s="1"/>
      <c r="I353" s="1"/>
      <c r="J353" s="1"/>
      <c r="K353" s="1"/>
      <c r="L353" s="1"/>
      <c r="M353" s="1"/>
      <c r="N353" s="1"/>
      <c r="O353" s="1"/>
      <c r="P353" s="1"/>
      <c r="Q353" s="1"/>
      <c r="R353" s="1"/>
      <c r="S353" s="1"/>
      <c r="T353" s="1"/>
      <c r="U353" s="1"/>
    </row>
    <row r="354" spans="1:21" x14ac:dyDescent="0.25">
      <c r="A354" s="1"/>
      <c r="B354" s="1"/>
      <c r="C354" s="1"/>
      <c r="D354" s="1"/>
      <c r="E354" s="1"/>
      <c r="F354" s="1"/>
      <c r="G354" s="1"/>
      <c r="H354" s="1"/>
      <c r="I354" s="1"/>
      <c r="J354" s="1"/>
      <c r="K354" s="1"/>
      <c r="L354" s="1"/>
      <c r="M354" s="1"/>
      <c r="N354" s="1"/>
      <c r="O354" s="1"/>
      <c r="P354" s="1"/>
      <c r="Q354" s="1"/>
      <c r="R354" s="1"/>
      <c r="S354" s="1"/>
      <c r="T354" s="1"/>
      <c r="U354" s="1"/>
    </row>
    <row r="355" spans="1:21" x14ac:dyDescent="0.25">
      <c r="A355" s="1"/>
      <c r="B355" s="1"/>
      <c r="C355" s="1"/>
      <c r="D355" s="1"/>
      <c r="E355" s="1"/>
      <c r="F355" s="1"/>
      <c r="G355" s="1"/>
      <c r="H355" s="1"/>
      <c r="I355" s="1"/>
      <c r="J355" s="1"/>
      <c r="K355" s="1"/>
      <c r="L355" s="1"/>
      <c r="M355" s="1"/>
      <c r="N355" s="1"/>
      <c r="O355" s="1"/>
      <c r="P355" s="1"/>
      <c r="Q355" s="1"/>
      <c r="R355" s="1"/>
      <c r="S355" s="1"/>
      <c r="T355" s="1"/>
      <c r="U355" s="1"/>
    </row>
    <row r="356" spans="1:21" x14ac:dyDescent="0.25">
      <c r="A356" s="1"/>
      <c r="B356" s="1"/>
      <c r="C356" s="1"/>
      <c r="D356" s="1"/>
      <c r="E356" s="1"/>
      <c r="F356" s="1"/>
      <c r="G356" s="1"/>
      <c r="H356" s="1"/>
      <c r="I356" s="1"/>
      <c r="J356" s="1"/>
      <c r="K356" s="1"/>
      <c r="L356" s="1"/>
      <c r="M356" s="1"/>
      <c r="N356" s="1"/>
      <c r="O356" s="1"/>
      <c r="P356" s="1"/>
      <c r="Q356" s="1"/>
      <c r="R356" s="1"/>
      <c r="S356" s="1"/>
      <c r="T356" s="1"/>
      <c r="U356" s="1"/>
    </row>
    <row r="357" spans="1:21" x14ac:dyDescent="0.25">
      <c r="A357" s="1"/>
      <c r="B357" s="1"/>
      <c r="C357" s="1"/>
      <c r="D357" s="1"/>
      <c r="E357" s="1"/>
      <c r="F357" s="1"/>
      <c r="G357" s="1"/>
      <c r="H357" s="1"/>
      <c r="I357" s="1"/>
      <c r="J357" s="1"/>
      <c r="K357" s="1"/>
      <c r="L357" s="1"/>
      <c r="M357" s="1"/>
      <c r="N357" s="1"/>
      <c r="O357" s="1"/>
      <c r="P357" s="1"/>
      <c r="Q357" s="1"/>
      <c r="R357" s="1"/>
      <c r="S357" s="1"/>
      <c r="T357" s="1"/>
      <c r="U357" s="1"/>
    </row>
    <row r="358" spans="1:21" x14ac:dyDescent="0.25">
      <c r="A358" s="1"/>
      <c r="B358" s="1"/>
      <c r="C358" s="1"/>
      <c r="D358" s="1"/>
      <c r="E358" s="1"/>
      <c r="F358" s="1"/>
      <c r="G358" s="1"/>
      <c r="H358" s="1"/>
      <c r="I358" s="1"/>
      <c r="J358" s="1"/>
      <c r="K358" s="1"/>
      <c r="L358" s="1"/>
      <c r="M358" s="1"/>
      <c r="N358" s="1"/>
      <c r="O358" s="1"/>
      <c r="P358" s="1"/>
      <c r="Q358" s="1"/>
      <c r="R358" s="1"/>
      <c r="S358" s="1"/>
      <c r="T358" s="1"/>
      <c r="U358" s="1"/>
    </row>
    <row r="359" spans="1:21" x14ac:dyDescent="0.25">
      <c r="A359" s="1"/>
      <c r="B359" s="1"/>
      <c r="C359" s="1"/>
      <c r="D359" s="1"/>
      <c r="E359" s="1"/>
      <c r="F359" s="1"/>
      <c r="G359" s="1"/>
      <c r="H359" s="1"/>
      <c r="I359" s="1"/>
      <c r="J359" s="1"/>
      <c r="K359" s="1"/>
      <c r="L359" s="1"/>
      <c r="M359" s="1"/>
      <c r="N359" s="1"/>
      <c r="O359" s="1"/>
      <c r="P359" s="1"/>
      <c r="Q359" s="1"/>
      <c r="R359" s="1"/>
      <c r="S359" s="1"/>
      <c r="T359" s="1"/>
      <c r="U359" s="1"/>
    </row>
    <row r="360" spans="1:21" x14ac:dyDescent="0.25">
      <c r="A360" s="1"/>
      <c r="B360" s="1"/>
      <c r="C360" s="1"/>
      <c r="D360" s="1"/>
      <c r="E360" s="1"/>
      <c r="F360" s="1"/>
      <c r="G360" s="1"/>
      <c r="H360" s="1"/>
      <c r="I360" s="1"/>
      <c r="J360" s="1"/>
      <c r="K360" s="1"/>
      <c r="L360" s="1"/>
      <c r="M360" s="1"/>
      <c r="N360" s="1"/>
      <c r="O360" s="1"/>
      <c r="P360" s="1"/>
      <c r="Q360" s="1"/>
      <c r="R360" s="1"/>
      <c r="S360" s="1"/>
      <c r="T360" s="1"/>
      <c r="U360" s="1"/>
    </row>
    <row r="361" spans="1:21" x14ac:dyDescent="0.25">
      <c r="A361" s="1"/>
      <c r="B361" s="1"/>
      <c r="C361" s="1"/>
      <c r="D361" s="1"/>
      <c r="E361" s="1"/>
      <c r="F361" s="1"/>
      <c r="G361" s="1"/>
      <c r="H361" s="1"/>
      <c r="I361" s="1"/>
      <c r="J361" s="1"/>
      <c r="K361" s="1"/>
      <c r="L361" s="1"/>
      <c r="M361" s="1"/>
      <c r="N361" s="1"/>
      <c r="O361" s="1"/>
      <c r="P361" s="1"/>
      <c r="Q361" s="1"/>
      <c r="R361" s="1"/>
      <c r="S361" s="1"/>
      <c r="T361" s="1"/>
      <c r="U361" s="1"/>
    </row>
    <row r="362" spans="1:21" x14ac:dyDescent="0.25">
      <c r="A362" s="1"/>
      <c r="B362" s="1"/>
      <c r="C362" s="1"/>
      <c r="D362" s="1"/>
      <c r="E362" s="1"/>
      <c r="F362" s="1"/>
      <c r="G362" s="1"/>
      <c r="H362" s="1"/>
      <c r="I362" s="1"/>
      <c r="J362" s="1"/>
      <c r="K362" s="1"/>
      <c r="L362" s="1"/>
      <c r="M362" s="1"/>
      <c r="N362" s="1"/>
      <c r="O362" s="1"/>
      <c r="P362" s="1"/>
      <c r="Q362" s="1"/>
      <c r="R362" s="1"/>
      <c r="S362" s="1"/>
      <c r="T362" s="1"/>
      <c r="U362" s="1"/>
    </row>
    <row r="363" spans="1:21" x14ac:dyDescent="0.25">
      <c r="A363" s="1"/>
      <c r="B363" s="1"/>
      <c r="C363" s="1"/>
      <c r="D363" s="1"/>
      <c r="E363" s="1"/>
      <c r="F363" s="1"/>
      <c r="G363" s="1"/>
      <c r="H363" s="1"/>
      <c r="I363" s="1"/>
      <c r="J363" s="1"/>
      <c r="K363" s="1"/>
      <c r="L363" s="1"/>
      <c r="M363" s="1"/>
      <c r="N363" s="1"/>
      <c r="O363" s="1"/>
      <c r="P363" s="1"/>
      <c r="Q363" s="1"/>
      <c r="R363" s="1"/>
      <c r="S363" s="1"/>
      <c r="T363" s="1"/>
      <c r="U363" s="1"/>
    </row>
    <row r="364" spans="1:21" x14ac:dyDescent="0.25">
      <c r="A364" s="1"/>
      <c r="B364" s="1"/>
      <c r="C364" s="1"/>
      <c r="D364" s="1"/>
      <c r="E364" s="1"/>
      <c r="F364" s="1"/>
      <c r="G364" s="1"/>
      <c r="H364" s="1"/>
      <c r="I364" s="1"/>
      <c r="J364" s="1"/>
      <c r="K364" s="1"/>
      <c r="L364" s="1"/>
      <c r="M364" s="1"/>
      <c r="N364" s="1"/>
      <c r="O364" s="1"/>
      <c r="P364" s="1"/>
      <c r="Q364" s="1"/>
      <c r="R364" s="1"/>
      <c r="S364" s="1"/>
      <c r="T364" s="1"/>
      <c r="U364" s="1"/>
    </row>
    <row r="365" spans="1:21" x14ac:dyDescent="0.25">
      <c r="A365" s="1"/>
      <c r="B365" s="1"/>
      <c r="C365" s="1"/>
      <c r="D365" s="1"/>
      <c r="E365" s="1"/>
      <c r="F365" s="1"/>
      <c r="G365" s="1"/>
      <c r="H365" s="1"/>
      <c r="I365" s="1"/>
      <c r="J365" s="1"/>
      <c r="K365" s="1"/>
      <c r="L365" s="1"/>
      <c r="M365" s="1"/>
      <c r="N365" s="1"/>
      <c r="O365" s="1"/>
      <c r="P365" s="1"/>
      <c r="Q365" s="1"/>
      <c r="R365" s="1"/>
      <c r="S365" s="1"/>
      <c r="T365" s="1"/>
      <c r="U365" s="1"/>
    </row>
    <row r="366" spans="1:21" x14ac:dyDescent="0.25">
      <c r="A366" s="1"/>
      <c r="B366" s="1"/>
      <c r="C366" s="1"/>
      <c r="D366" s="1"/>
      <c r="E366" s="1"/>
      <c r="F366" s="1"/>
      <c r="G366" s="1"/>
      <c r="H366" s="1"/>
      <c r="I366" s="1"/>
      <c r="J366" s="1"/>
      <c r="K366" s="1"/>
      <c r="L366" s="1"/>
      <c r="M366" s="1"/>
      <c r="N366" s="1"/>
      <c r="O366" s="1"/>
      <c r="P366" s="1"/>
      <c r="Q366" s="1"/>
      <c r="R366" s="1"/>
      <c r="S366" s="1"/>
      <c r="T366" s="1"/>
      <c r="U366" s="1"/>
    </row>
    <row r="367" spans="1:21" x14ac:dyDescent="0.25">
      <c r="A367" s="1"/>
      <c r="B367" s="1"/>
      <c r="C367" s="1"/>
      <c r="D367" s="1"/>
      <c r="E367" s="1"/>
      <c r="F367" s="1"/>
      <c r="G367" s="1"/>
      <c r="H367" s="1"/>
      <c r="I367" s="1"/>
      <c r="J367" s="1"/>
      <c r="K367" s="1"/>
      <c r="L367" s="1"/>
      <c r="M367" s="1"/>
      <c r="N367" s="1"/>
      <c r="O367" s="1"/>
      <c r="P367" s="1"/>
      <c r="Q367" s="1"/>
      <c r="R367" s="1"/>
      <c r="S367" s="1"/>
      <c r="T367" s="1"/>
      <c r="U367" s="1"/>
    </row>
    <row r="368" spans="1:21" x14ac:dyDescent="0.25">
      <c r="A368" s="1"/>
      <c r="B368" s="1"/>
      <c r="C368" s="1"/>
      <c r="D368" s="1"/>
      <c r="E368" s="1"/>
      <c r="F368" s="1"/>
      <c r="G368" s="1"/>
      <c r="H368" s="1"/>
      <c r="I368" s="1"/>
      <c r="J368" s="1"/>
      <c r="K368" s="1"/>
      <c r="L368" s="1"/>
      <c r="M368" s="1"/>
      <c r="N368" s="1"/>
      <c r="O368" s="1"/>
      <c r="P368" s="1"/>
      <c r="Q368" s="1"/>
      <c r="R368" s="1"/>
      <c r="S368" s="1"/>
      <c r="T368" s="1"/>
      <c r="U368" s="1"/>
    </row>
    <row r="369" spans="1:21" x14ac:dyDescent="0.25">
      <c r="A369" s="1"/>
      <c r="B369" s="1"/>
      <c r="C369" s="1"/>
      <c r="D369" s="1"/>
      <c r="E369" s="1"/>
      <c r="F369" s="1"/>
      <c r="G369" s="1"/>
      <c r="H369" s="1"/>
      <c r="I369" s="1"/>
      <c r="J369" s="1"/>
      <c r="K369" s="1"/>
      <c r="L369" s="1"/>
      <c r="M369" s="1"/>
      <c r="N369" s="1"/>
      <c r="O369" s="1"/>
      <c r="P369" s="1"/>
      <c r="Q369" s="1"/>
      <c r="R369" s="1"/>
      <c r="S369" s="1"/>
      <c r="T369" s="1"/>
      <c r="U369" s="1"/>
    </row>
    <row r="370" spans="1:21" x14ac:dyDescent="0.25">
      <c r="A370" s="1"/>
      <c r="B370" s="1"/>
      <c r="C370" s="1"/>
      <c r="D370" s="1"/>
      <c r="E370" s="1"/>
      <c r="F370" s="1"/>
      <c r="G370" s="1"/>
      <c r="H370" s="1"/>
      <c r="I370" s="1"/>
      <c r="J370" s="1"/>
      <c r="K370" s="1"/>
      <c r="L370" s="1"/>
      <c r="M370" s="1"/>
      <c r="N370" s="1"/>
      <c r="O370" s="1"/>
      <c r="P370" s="1"/>
      <c r="Q370" s="1"/>
      <c r="R370" s="1"/>
      <c r="S370" s="1"/>
      <c r="T370" s="1"/>
      <c r="U370" s="1"/>
    </row>
    <row r="371" spans="1:21" x14ac:dyDescent="0.25">
      <c r="A371" s="1"/>
      <c r="B371" s="1"/>
      <c r="C371" s="1"/>
      <c r="D371" s="1"/>
      <c r="E371" s="1"/>
      <c r="F371" s="1"/>
      <c r="G371" s="1"/>
      <c r="H371" s="1"/>
      <c r="I371" s="1"/>
      <c r="J371" s="1"/>
      <c r="K371" s="1"/>
      <c r="L371" s="1"/>
      <c r="M371" s="1"/>
      <c r="N371" s="1"/>
      <c r="O371" s="1"/>
      <c r="P371" s="1"/>
      <c r="Q371" s="1"/>
      <c r="R371" s="1"/>
      <c r="S371" s="1"/>
      <c r="T371" s="1"/>
      <c r="U371" s="1"/>
    </row>
    <row r="372" spans="1:21" x14ac:dyDescent="0.25">
      <c r="A372" s="1"/>
      <c r="B372" s="1"/>
      <c r="C372" s="1"/>
      <c r="D372" s="1"/>
      <c r="E372" s="1"/>
      <c r="F372" s="1"/>
      <c r="G372" s="1"/>
      <c r="H372" s="1"/>
      <c r="I372" s="1"/>
      <c r="J372" s="1"/>
      <c r="K372" s="1"/>
      <c r="L372" s="1"/>
      <c r="M372" s="1"/>
      <c r="N372" s="1"/>
      <c r="O372" s="1"/>
      <c r="P372" s="1"/>
      <c r="Q372" s="1"/>
      <c r="R372" s="1"/>
      <c r="S372" s="1"/>
      <c r="T372" s="1"/>
      <c r="U372" s="1"/>
    </row>
    <row r="373" spans="1:21" x14ac:dyDescent="0.25">
      <c r="A373" s="1"/>
      <c r="B373" s="1"/>
      <c r="C373" s="1"/>
      <c r="D373" s="1"/>
      <c r="E373" s="1"/>
      <c r="F373" s="1"/>
      <c r="G373" s="1"/>
      <c r="H373" s="1"/>
      <c r="I373" s="1"/>
      <c r="J373" s="1"/>
      <c r="K373" s="1"/>
      <c r="L373" s="1"/>
      <c r="M373" s="1"/>
      <c r="N373" s="1"/>
      <c r="O373" s="1"/>
      <c r="P373" s="1"/>
      <c r="Q373" s="1"/>
      <c r="R373" s="1"/>
      <c r="S373" s="1"/>
      <c r="T373" s="1"/>
      <c r="U373" s="1"/>
    </row>
    <row r="374" spans="1:21" x14ac:dyDescent="0.25">
      <c r="A374" s="1"/>
      <c r="B374" s="1"/>
      <c r="C374" s="1"/>
      <c r="D374" s="1"/>
      <c r="E374" s="1"/>
      <c r="F374" s="1"/>
      <c r="G374" s="1"/>
      <c r="H374" s="1"/>
      <c r="I374" s="1"/>
      <c r="J374" s="1"/>
      <c r="K374" s="1"/>
      <c r="L374" s="1"/>
      <c r="M374" s="1"/>
      <c r="N374" s="1"/>
      <c r="O374" s="1"/>
      <c r="P374" s="1"/>
      <c r="Q374" s="1"/>
      <c r="R374" s="1"/>
      <c r="S374" s="1"/>
      <c r="T374" s="1"/>
      <c r="U374" s="1"/>
    </row>
    <row r="375" spans="1:21" x14ac:dyDescent="0.25">
      <c r="A375" s="1"/>
      <c r="B375" s="1"/>
      <c r="C375" s="1"/>
      <c r="D375" s="1"/>
      <c r="E375" s="1"/>
      <c r="F375" s="1"/>
      <c r="G375" s="1"/>
      <c r="H375" s="1"/>
      <c r="I375" s="1"/>
      <c r="J375" s="1"/>
      <c r="K375" s="1"/>
      <c r="L375" s="1"/>
      <c r="M375" s="1"/>
      <c r="N375" s="1"/>
      <c r="O375" s="1"/>
      <c r="P375" s="1"/>
      <c r="Q375" s="1"/>
      <c r="R375" s="1"/>
      <c r="S375" s="1"/>
      <c r="T375" s="1"/>
      <c r="U375" s="1"/>
    </row>
    <row r="376" spans="1:21" x14ac:dyDescent="0.25">
      <c r="A376" s="1"/>
      <c r="B376" s="1"/>
      <c r="C376" s="1"/>
      <c r="D376" s="1"/>
      <c r="E376" s="1"/>
      <c r="F376" s="1"/>
      <c r="G376" s="1"/>
      <c r="H376" s="1"/>
      <c r="I376" s="1"/>
      <c r="J376" s="1"/>
      <c r="K376" s="1"/>
      <c r="L376" s="1"/>
      <c r="M376" s="1"/>
      <c r="N376" s="1"/>
      <c r="O376" s="1"/>
      <c r="P376" s="1"/>
      <c r="Q376" s="1"/>
      <c r="R376" s="1"/>
      <c r="S376" s="1"/>
      <c r="T376" s="1"/>
      <c r="U376" s="1"/>
    </row>
    <row r="377" spans="1:21" x14ac:dyDescent="0.25">
      <c r="A377" s="1"/>
      <c r="B377" s="1"/>
      <c r="C377" s="1"/>
      <c r="D377" s="1"/>
      <c r="E377" s="1"/>
      <c r="F377" s="1"/>
      <c r="G377" s="1"/>
      <c r="H377" s="1"/>
      <c r="I377" s="1"/>
      <c r="J377" s="1"/>
      <c r="K377" s="1"/>
      <c r="L377" s="1"/>
      <c r="M377" s="1"/>
      <c r="N377" s="1"/>
      <c r="O377" s="1"/>
      <c r="P377" s="1"/>
      <c r="Q377" s="1"/>
      <c r="R377" s="1"/>
      <c r="S377" s="1"/>
      <c r="T377" s="1"/>
      <c r="U377" s="1"/>
    </row>
    <row r="378" spans="1:21" x14ac:dyDescent="0.25">
      <c r="A378" s="1"/>
      <c r="B378" s="1"/>
      <c r="C378" s="1"/>
      <c r="D378" s="1"/>
      <c r="E378" s="1"/>
      <c r="F378" s="1"/>
      <c r="G378" s="1"/>
      <c r="H378" s="1"/>
      <c r="I378" s="1"/>
      <c r="J378" s="1"/>
      <c r="K378" s="1"/>
      <c r="L378" s="1"/>
      <c r="M378" s="1"/>
      <c r="N378" s="1"/>
      <c r="O378" s="1"/>
      <c r="P378" s="1"/>
      <c r="Q378" s="1"/>
      <c r="R378" s="1"/>
      <c r="S378" s="1"/>
      <c r="T378" s="1"/>
      <c r="U378" s="1"/>
    </row>
    <row r="379" spans="1:21" x14ac:dyDescent="0.25">
      <c r="A379" s="1"/>
      <c r="B379" s="1"/>
      <c r="C379" s="1"/>
      <c r="D379" s="1"/>
      <c r="E379" s="1"/>
      <c r="F379" s="1"/>
      <c r="G379" s="1"/>
      <c r="H379" s="1"/>
      <c r="I379" s="1"/>
      <c r="J379" s="1"/>
      <c r="K379" s="1"/>
      <c r="L379" s="1"/>
      <c r="M379" s="1"/>
      <c r="N379" s="1"/>
      <c r="O379" s="1"/>
      <c r="P379" s="1"/>
      <c r="Q379" s="1"/>
      <c r="R379" s="1"/>
      <c r="S379" s="1"/>
      <c r="T379" s="1"/>
      <c r="U379" s="1"/>
    </row>
    <row r="380" spans="1:21" x14ac:dyDescent="0.25">
      <c r="A380" s="1"/>
      <c r="B380" s="1"/>
      <c r="C380" s="1"/>
      <c r="D380" s="1"/>
      <c r="E380" s="1"/>
      <c r="F380" s="1"/>
      <c r="G380" s="1"/>
      <c r="H380" s="1"/>
      <c r="I380" s="1"/>
      <c r="J380" s="1"/>
      <c r="K380" s="1"/>
      <c r="L380" s="1"/>
      <c r="M380" s="1"/>
      <c r="N380" s="1"/>
      <c r="O380" s="1"/>
      <c r="P380" s="1"/>
      <c r="Q380" s="1"/>
      <c r="R380" s="1"/>
      <c r="S380" s="1"/>
      <c r="T380" s="1"/>
      <c r="U380" s="1"/>
    </row>
    <row r="381" spans="1:21" x14ac:dyDescent="0.25">
      <c r="A381" s="1"/>
      <c r="B381" s="1"/>
      <c r="C381" s="1"/>
      <c r="D381" s="1"/>
      <c r="E381" s="1"/>
      <c r="F381" s="1"/>
      <c r="G381" s="1"/>
      <c r="H381" s="1"/>
      <c r="I381" s="1"/>
      <c r="J381" s="1"/>
      <c r="K381" s="1"/>
      <c r="L381" s="1"/>
      <c r="M381" s="1"/>
      <c r="N381" s="1"/>
      <c r="O381" s="1"/>
      <c r="P381" s="1"/>
      <c r="Q381" s="1"/>
      <c r="R381" s="1"/>
      <c r="S381" s="1"/>
      <c r="T381" s="1"/>
      <c r="U381" s="1"/>
    </row>
    <row r="382" spans="1:21" x14ac:dyDescent="0.25">
      <c r="A382" s="1"/>
      <c r="B382" s="1"/>
      <c r="C382" s="1"/>
      <c r="D382" s="1"/>
      <c r="E382" s="1"/>
      <c r="F382" s="1"/>
      <c r="G382" s="1"/>
      <c r="H382" s="1"/>
      <c r="I382" s="1"/>
      <c r="J382" s="1"/>
      <c r="K382" s="1"/>
      <c r="L382" s="1"/>
      <c r="M382" s="1"/>
      <c r="N382" s="1"/>
      <c r="O382" s="1"/>
      <c r="P382" s="1"/>
      <c r="Q382" s="1"/>
      <c r="R382" s="1"/>
      <c r="S382" s="1"/>
      <c r="T382" s="1"/>
      <c r="U382" s="1"/>
    </row>
    <row r="383" spans="1:21" x14ac:dyDescent="0.25">
      <c r="A383" s="1"/>
      <c r="B383" s="1"/>
      <c r="C383" s="1"/>
      <c r="D383" s="1"/>
      <c r="E383" s="1"/>
      <c r="F383" s="1"/>
      <c r="G383" s="1"/>
      <c r="H383" s="1"/>
      <c r="I383" s="1"/>
      <c r="J383" s="1"/>
      <c r="K383" s="1"/>
      <c r="L383" s="1"/>
      <c r="M383" s="1"/>
      <c r="N383" s="1"/>
      <c r="O383" s="1"/>
      <c r="P383" s="1"/>
      <c r="Q383" s="1"/>
      <c r="R383" s="1"/>
      <c r="S383" s="1"/>
      <c r="T383" s="1"/>
      <c r="U383" s="1"/>
    </row>
    <row r="384" spans="1:21" x14ac:dyDescent="0.25">
      <c r="A384" s="1"/>
      <c r="B384" s="1"/>
      <c r="C384" s="1"/>
      <c r="D384" s="1"/>
      <c r="E384" s="1"/>
      <c r="F384" s="1"/>
      <c r="G384" s="1"/>
      <c r="H384" s="1"/>
      <c r="I384" s="1"/>
      <c r="J384" s="1"/>
      <c r="K384" s="1"/>
      <c r="L384" s="1"/>
      <c r="M384" s="1"/>
      <c r="N384" s="1"/>
      <c r="O384" s="1"/>
      <c r="P384" s="1"/>
      <c r="Q384" s="1"/>
      <c r="R384" s="1"/>
      <c r="S384" s="1"/>
      <c r="T384" s="1"/>
      <c r="U384" s="1"/>
    </row>
    <row r="385" spans="1:21" x14ac:dyDescent="0.25">
      <c r="A385" s="1"/>
      <c r="B385" s="1"/>
      <c r="C385" s="1"/>
      <c r="D385" s="1"/>
      <c r="E385" s="1"/>
      <c r="F385" s="1"/>
      <c r="G385" s="1"/>
      <c r="H385" s="1"/>
      <c r="I385" s="1"/>
      <c r="J385" s="1"/>
      <c r="K385" s="1"/>
      <c r="L385" s="1"/>
      <c r="M385" s="1"/>
      <c r="N385" s="1"/>
      <c r="O385" s="1"/>
      <c r="P385" s="1"/>
      <c r="Q385" s="1"/>
      <c r="R385" s="1"/>
      <c r="S385" s="1"/>
      <c r="T385" s="1"/>
      <c r="U385" s="1"/>
    </row>
    <row r="386" spans="1:21" x14ac:dyDescent="0.25">
      <c r="A386" s="1"/>
      <c r="B386" s="1"/>
      <c r="C386" s="1"/>
      <c r="D386" s="1"/>
      <c r="E386" s="1"/>
      <c r="F386" s="1"/>
      <c r="G386" s="1"/>
      <c r="H386" s="1"/>
      <c r="I386" s="1"/>
      <c r="J386" s="1"/>
      <c r="K386" s="1"/>
      <c r="L386" s="1"/>
      <c r="M386" s="1"/>
      <c r="N386" s="1"/>
      <c r="O386" s="1"/>
      <c r="P386" s="1"/>
      <c r="Q386" s="1"/>
      <c r="R386" s="1"/>
      <c r="S386" s="1"/>
      <c r="T386" s="1"/>
      <c r="U386" s="1"/>
    </row>
    <row r="387" spans="1:21" x14ac:dyDescent="0.25">
      <c r="A387" s="1"/>
      <c r="B387" s="1"/>
      <c r="C387" s="1"/>
      <c r="D387" s="1"/>
      <c r="E387" s="1"/>
      <c r="F387" s="1"/>
      <c r="G387" s="1"/>
      <c r="H387" s="1"/>
      <c r="I387" s="1"/>
      <c r="J387" s="1"/>
      <c r="K387" s="1"/>
      <c r="L387" s="1"/>
      <c r="M387" s="1"/>
      <c r="N387" s="1"/>
      <c r="O387" s="1"/>
      <c r="P387" s="1"/>
      <c r="Q387" s="1"/>
      <c r="R387" s="1"/>
      <c r="S387" s="1"/>
      <c r="T387" s="1"/>
      <c r="U387" s="1"/>
    </row>
    <row r="388" spans="1:21" x14ac:dyDescent="0.25">
      <c r="A388" s="1"/>
      <c r="B388" s="1"/>
      <c r="C388" s="1"/>
      <c r="D388" s="1"/>
      <c r="E388" s="1"/>
      <c r="F388" s="1"/>
      <c r="G388" s="1"/>
      <c r="H388" s="1"/>
      <c r="I388" s="1"/>
      <c r="J388" s="1"/>
      <c r="K388" s="1"/>
      <c r="L388" s="1"/>
      <c r="M388" s="1"/>
      <c r="N388" s="1"/>
      <c r="O388" s="1"/>
      <c r="P388" s="1"/>
      <c r="Q388" s="1"/>
      <c r="R388" s="1"/>
      <c r="S388" s="1"/>
      <c r="T388" s="1"/>
      <c r="U388" s="1"/>
    </row>
    <row r="389" spans="1:21" x14ac:dyDescent="0.25">
      <c r="A389" s="1"/>
      <c r="B389" s="1"/>
      <c r="C389" s="1"/>
      <c r="D389" s="1"/>
      <c r="E389" s="1"/>
      <c r="F389" s="1"/>
      <c r="G389" s="1"/>
      <c r="H389" s="1"/>
      <c r="I389" s="1"/>
      <c r="J389" s="1"/>
      <c r="K389" s="1"/>
      <c r="L389" s="1"/>
      <c r="M389" s="1"/>
      <c r="N389" s="1"/>
      <c r="O389" s="1"/>
      <c r="P389" s="1"/>
      <c r="Q389" s="1"/>
      <c r="R389" s="1"/>
      <c r="S389" s="1"/>
      <c r="T389" s="1"/>
      <c r="U389" s="1"/>
    </row>
    <row r="390" spans="1:21" x14ac:dyDescent="0.25">
      <c r="A390" s="1"/>
      <c r="B390" s="1"/>
      <c r="C390" s="1"/>
      <c r="D390" s="1"/>
      <c r="E390" s="1"/>
      <c r="F390" s="1"/>
      <c r="G390" s="1"/>
      <c r="H390" s="1"/>
      <c r="I390" s="1"/>
      <c r="J390" s="1"/>
      <c r="K390" s="1"/>
      <c r="L390" s="1"/>
      <c r="M390" s="1"/>
      <c r="N390" s="1"/>
      <c r="O390" s="1"/>
      <c r="P390" s="1"/>
      <c r="Q390" s="1"/>
      <c r="R390" s="1"/>
      <c r="S390" s="1"/>
      <c r="T390" s="1"/>
      <c r="U390" s="1"/>
    </row>
    <row r="391" spans="1:21" x14ac:dyDescent="0.25">
      <c r="A391" s="1"/>
      <c r="B391" s="1"/>
      <c r="C391" s="1"/>
      <c r="D391" s="1"/>
      <c r="E391" s="1"/>
      <c r="F391" s="1"/>
      <c r="G391" s="1"/>
      <c r="H391" s="1"/>
      <c r="I391" s="1"/>
      <c r="J391" s="1"/>
      <c r="K391" s="1"/>
      <c r="L391" s="1"/>
      <c r="M391" s="1"/>
      <c r="N391" s="1"/>
      <c r="O391" s="1"/>
      <c r="P391" s="1"/>
      <c r="Q391" s="1"/>
      <c r="R391" s="1"/>
      <c r="S391" s="1"/>
      <c r="T391" s="1"/>
      <c r="U391" s="1"/>
    </row>
    <row r="392" spans="1:21" x14ac:dyDescent="0.25">
      <c r="A392" s="1"/>
      <c r="B392" s="1"/>
      <c r="C392" s="1"/>
      <c r="D392" s="1"/>
      <c r="E392" s="1"/>
      <c r="F392" s="1"/>
      <c r="G392" s="1"/>
      <c r="H392" s="1"/>
      <c r="I392" s="1"/>
      <c r="J392" s="1"/>
      <c r="K392" s="1"/>
      <c r="L392" s="1"/>
      <c r="M392" s="1"/>
      <c r="N392" s="1"/>
      <c r="O392" s="1"/>
      <c r="P392" s="1"/>
      <c r="Q392" s="1"/>
      <c r="R392" s="1"/>
      <c r="S392" s="1"/>
      <c r="T392" s="1"/>
      <c r="U392" s="1"/>
    </row>
    <row r="393" spans="1:21" x14ac:dyDescent="0.25">
      <c r="A393" s="1"/>
      <c r="B393" s="1"/>
      <c r="C393" s="1"/>
      <c r="D393" s="1"/>
      <c r="E393" s="1"/>
      <c r="F393" s="1"/>
      <c r="G393" s="1"/>
      <c r="H393" s="1"/>
      <c r="I393" s="1"/>
      <c r="J393" s="1"/>
      <c r="K393" s="1"/>
      <c r="L393" s="1"/>
      <c r="M393" s="1"/>
      <c r="N393" s="1"/>
      <c r="O393" s="1"/>
      <c r="P393" s="1"/>
      <c r="Q393" s="1"/>
      <c r="R393" s="1"/>
      <c r="S393" s="1"/>
      <c r="T393" s="1"/>
      <c r="U393" s="1"/>
    </row>
    <row r="394" spans="1:21" x14ac:dyDescent="0.25">
      <c r="A394" s="1"/>
      <c r="B394" s="1"/>
      <c r="C394" s="1"/>
      <c r="D394" s="1"/>
      <c r="E394" s="1"/>
      <c r="F394" s="1"/>
      <c r="G394" s="1"/>
      <c r="H394" s="1"/>
      <c r="I394" s="1"/>
      <c r="J394" s="1"/>
      <c r="K394" s="1"/>
      <c r="L394" s="1"/>
      <c r="M394" s="1"/>
      <c r="N394" s="1"/>
      <c r="O394" s="1"/>
      <c r="P394" s="1"/>
      <c r="Q394" s="1"/>
      <c r="R394" s="1"/>
      <c r="S394" s="1"/>
      <c r="T394" s="1"/>
      <c r="U394" s="1"/>
    </row>
    <row r="395" spans="1:21" x14ac:dyDescent="0.25">
      <c r="A395" s="1"/>
      <c r="B395" s="1"/>
      <c r="C395" s="1"/>
      <c r="D395" s="1"/>
      <c r="E395" s="1"/>
      <c r="F395" s="1"/>
      <c r="G395" s="1"/>
      <c r="H395" s="1"/>
      <c r="I395" s="1"/>
      <c r="J395" s="1"/>
      <c r="K395" s="1"/>
      <c r="L395" s="1"/>
      <c r="M395" s="1"/>
      <c r="N395" s="1"/>
      <c r="O395" s="1"/>
      <c r="P395" s="1"/>
      <c r="Q395" s="1"/>
      <c r="R395" s="1"/>
      <c r="S395" s="1"/>
      <c r="T395" s="1"/>
      <c r="U395" s="1"/>
    </row>
    <row r="396" spans="1:21" x14ac:dyDescent="0.25">
      <c r="A396" s="1"/>
      <c r="B396" s="1"/>
      <c r="C396" s="1"/>
      <c r="D396" s="1"/>
      <c r="E396" s="1"/>
      <c r="F396" s="1"/>
      <c r="G396" s="1"/>
      <c r="H396" s="1"/>
      <c r="I396" s="1"/>
      <c r="J396" s="1"/>
      <c r="K396" s="1"/>
      <c r="L396" s="1"/>
      <c r="M396" s="1"/>
      <c r="N396" s="1"/>
      <c r="O396" s="1"/>
      <c r="P396" s="1"/>
      <c r="Q396" s="1"/>
      <c r="R396" s="1"/>
      <c r="S396" s="1"/>
      <c r="T396" s="1"/>
      <c r="U396" s="1"/>
    </row>
    <row r="397" spans="1:21" x14ac:dyDescent="0.25">
      <c r="A397" s="1"/>
      <c r="B397" s="1"/>
      <c r="C397" s="1"/>
      <c r="D397" s="1"/>
      <c r="E397" s="1"/>
      <c r="F397" s="1"/>
      <c r="G397" s="1"/>
      <c r="H397" s="1"/>
      <c r="I397" s="1"/>
      <c r="J397" s="1"/>
      <c r="K397" s="1"/>
      <c r="L397" s="1"/>
      <c r="M397" s="1"/>
      <c r="N397" s="1"/>
      <c r="O397" s="1"/>
      <c r="P397" s="1"/>
      <c r="Q397" s="1"/>
      <c r="R397" s="1"/>
      <c r="S397" s="1"/>
      <c r="T397" s="1"/>
      <c r="U397" s="1"/>
    </row>
    <row r="398" spans="1:21" x14ac:dyDescent="0.25">
      <c r="A398" s="1"/>
      <c r="B398" s="1"/>
      <c r="C398" s="1"/>
      <c r="D398" s="1"/>
      <c r="E398" s="1"/>
      <c r="F398" s="1"/>
      <c r="G398" s="1"/>
      <c r="H398" s="1"/>
      <c r="I398" s="1"/>
      <c r="J398" s="1"/>
      <c r="K398" s="1"/>
      <c r="L398" s="1"/>
      <c r="M398" s="1"/>
      <c r="N398" s="1"/>
      <c r="O398" s="1"/>
      <c r="P398" s="1"/>
      <c r="Q398" s="1"/>
      <c r="R398" s="1"/>
      <c r="S398" s="1"/>
      <c r="T398" s="1"/>
      <c r="U398" s="1"/>
    </row>
    <row r="399" spans="1:21" x14ac:dyDescent="0.25">
      <c r="A399" s="1"/>
      <c r="B399" s="1"/>
      <c r="C399" s="1"/>
      <c r="D399" s="1"/>
      <c r="E399" s="1"/>
      <c r="F399" s="1"/>
      <c r="G399" s="1"/>
      <c r="H399" s="1"/>
      <c r="I399" s="1"/>
      <c r="J399" s="1"/>
      <c r="K399" s="1"/>
      <c r="L399" s="1"/>
      <c r="M399" s="1"/>
      <c r="N399" s="1"/>
      <c r="O399" s="1"/>
      <c r="P399" s="1"/>
      <c r="Q399" s="1"/>
      <c r="R399" s="1"/>
      <c r="S399" s="1"/>
      <c r="T399" s="1"/>
      <c r="U399" s="1"/>
    </row>
    <row r="400" spans="1:21" x14ac:dyDescent="0.25">
      <c r="A400" s="1"/>
      <c r="B400" s="1"/>
      <c r="C400" s="1"/>
      <c r="D400" s="1"/>
      <c r="E400" s="1"/>
      <c r="F400" s="1"/>
      <c r="G400" s="1"/>
      <c r="H400" s="1"/>
      <c r="I400" s="1"/>
      <c r="J400" s="1"/>
      <c r="K400" s="1"/>
      <c r="L400" s="1"/>
      <c r="M400" s="1"/>
      <c r="N400" s="1"/>
      <c r="O400" s="1"/>
      <c r="P400" s="1"/>
      <c r="Q400" s="1"/>
      <c r="R400" s="1"/>
      <c r="S400" s="1"/>
      <c r="T400" s="1"/>
      <c r="U400" s="1"/>
    </row>
    <row r="401" spans="1:21" x14ac:dyDescent="0.25">
      <c r="A401" s="1"/>
      <c r="B401" s="1"/>
      <c r="C401" s="1"/>
      <c r="D401" s="1"/>
      <c r="E401" s="1"/>
      <c r="F401" s="1"/>
      <c r="G401" s="1"/>
      <c r="H401" s="1"/>
      <c r="I401" s="1"/>
      <c r="J401" s="1"/>
      <c r="K401" s="1"/>
      <c r="L401" s="1"/>
      <c r="M401" s="1"/>
      <c r="N401" s="1"/>
      <c r="O401" s="1"/>
      <c r="P401" s="1"/>
      <c r="Q401" s="1"/>
      <c r="R401" s="1"/>
      <c r="S401" s="1"/>
      <c r="T401" s="1"/>
      <c r="U401" s="1"/>
    </row>
    <row r="402" spans="1:21" x14ac:dyDescent="0.25">
      <c r="A402" s="1"/>
      <c r="B402" s="1"/>
      <c r="C402" s="1"/>
      <c r="D402" s="1"/>
      <c r="E402" s="1"/>
      <c r="F402" s="1"/>
      <c r="G402" s="1"/>
      <c r="H402" s="1"/>
      <c r="I402" s="1"/>
      <c r="J402" s="1"/>
      <c r="K402" s="1"/>
      <c r="L402" s="1"/>
      <c r="M402" s="1"/>
      <c r="N402" s="1"/>
      <c r="O402" s="1"/>
      <c r="P402" s="1"/>
      <c r="Q402" s="1"/>
      <c r="R402" s="1"/>
      <c r="S402" s="1"/>
      <c r="T402" s="1"/>
      <c r="U402" s="1"/>
    </row>
    <row r="403" spans="1:21" x14ac:dyDescent="0.25">
      <c r="A403" s="1"/>
      <c r="B403" s="1"/>
      <c r="C403" s="1"/>
      <c r="D403" s="1"/>
      <c r="E403" s="1"/>
      <c r="F403" s="1"/>
      <c r="G403" s="1"/>
      <c r="H403" s="1"/>
      <c r="I403" s="1"/>
      <c r="J403" s="1"/>
      <c r="K403" s="1"/>
      <c r="L403" s="1"/>
      <c r="M403" s="1"/>
      <c r="N403" s="1"/>
      <c r="O403" s="1"/>
      <c r="P403" s="1"/>
      <c r="Q403" s="1"/>
      <c r="R403" s="1"/>
      <c r="S403" s="1"/>
      <c r="T403" s="1"/>
      <c r="U403" s="1"/>
    </row>
    <row r="404" spans="1:21" x14ac:dyDescent="0.25">
      <c r="A404" s="1"/>
      <c r="B404" s="1"/>
      <c r="C404" s="1"/>
      <c r="D404" s="1"/>
      <c r="E404" s="1"/>
      <c r="F404" s="1"/>
      <c r="G404" s="1"/>
      <c r="H404" s="1"/>
      <c r="I404" s="1"/>
      <c r="J404" s="1"/>
      <c r="K404" s="1"/>
      <c r="L404" s="1"/>
      <c r="M404" s="1"/>
      <c r="N404" s="1"/>
      <c r="O404" s="1"/>
      <c r="P404" s="1"/>
      <c r="Q404" s="1"/>
      <c r="R404" s="1"/>
      <c r="S404" s="1"/>
      <c r="T404" s="1"/>
      <c r="U404" s="1"/>
    </row>
    <row r="405" spans="1:21" x14ac:dyDescent="0.25">
      <c r="A405" s="1"/>
      <c r="B405" s="1"/>
      <c r="C405" s="1"/>
      <c r="D405" s="1"/>
      <c r="E405" s="1"/>
      <c r="F405" s="1"/>
      <c r="G405" s="1"/>
      <c r="H405" s="1"/>
      <c r="I405" s="1"/>
      <c r="J405" s="1"/>
      <c r="K405" s="1"/>
      <c r="L405" s="1"/>
      <c r="M405" s="1"/>
      <c r="N405" s="1"/>
      <c r="O405" s="1"/>
      <c r="P405" s="1"/>
      <c r="Q405" s="1"/>
      <c r="R405" s="1"/>
      <c r="S405" s="1"/>
      <c r="T405" s="1"/>
      <c r="U405" s="1"/>
    </row>
    <row r="406" spans="1:21" x14ac:dyDescent="0.25">
      <c r="A406" s="1"/>
      <c r="B406" s="1"/>
      <c r="C406" s="1"/>
      <c r="D406" s="1"/>
      <c r="E406" s="1"/>
      <c r="F406" s="1"/>
      <c r="G406" s="1"/>
      <c r="H406" s="1"/>
      <c r="I406" s="1"/>
      <c r="J406" s="1"/>
      <c r="K406" s="1"/>
      <c r="L406" s="1"/>
      <c r="M406" s="1"/>
      <c r="N406" s="1"/>
      <c r="O406" s="1"/>
      <c r="P406" s="1"/>
      <c r="Q406" s="1"/>
      <c r="R406" s="1"/>
      <c r="S406" s="1"/>
      <c r="T406" s="1"/>
      <c r="U406" s="1"/>
    </row>
    <row r="407" spans="1:21" x14ac:dyDescent="0.25">
      <c r="A407" s="1"/>
      <c r="B407" s="1"/>
      <c r="C407" s="1"/>
      <c r="D407" s="1"/>
      <c r="E407" s="1"/>
      <c r="F407" s="1"/>
      <c r="G407" s="1"/>
      <c r="H407" s="1"/>
      <c r="I407" s="1"/>
      <c r="J407" s="1"/>
      <c r="K407" s="1"/>
      <c r="L407" s="1"/>
      <c r="M407" s="1"/>
      <c r="N407" s="1"/>
      <c r="O407" s="1"/>
      <c r="P407" s="1"/>
      <c r="Q407" s="1"/>
      <c r="R407" s="1"/>
      <c r="S407" s="1"/>
      <c r="T407" s="1"/>
      <c r="U407" s="1"/>
    </row>
    <row r="408" spans="1:21" x14ac:dyDescent="0.25">
      <c r="A408" s="1"/>
      <c r="B408" s="1"/>
      <c r="C408" s="1"/>
      <c r="D408" s="1"/>
      <c r="E408" s="1"/>
      <c r="F408" s="1"/>
      <c r="G408" s="1"/>
      <c r="H408" s="1"/>
      <c r="I408" s="1"/>
      <c r="J408" s="1"/>
      <c r="K408" s="1"/>
      <c r="L408" s="1"/>
      <c r="M408" s="1"/>
      <c r="N408" s="1"/>
      <c r="O408" s="1"/>
      <c r="P408" s="1"/>
      <c r="Q408" s="1"/>
      <c r="R408" s="1"/>
      <c r="S408" s="1"/>
      <c r="T408" s="1"/>
      <c r="U408" s="1"/>
    </row>
    <row r="409" spans="1:21" x14ac:dyDescent="0.25">
      <c r="A409" s="1"/>
      <c r="B409" s="1"/>
      <c r="C409" s="1"/>
      <c r="D409" s="1"/>
      <c r="E409" s="1"/>
      <c r="F409" s="1"/>
      <c r="G409" s="1"/>
      <c r="H409" s="1"/>
      <c r="I409" s="1"/>
      <c r="J409" s="1"/>
      <c r="K409" s="1"/>
      <c r="L409" s="1"/>
      <c r="M409" s="1"/>
      <c r="N409" s="1"/>
      <c r="O409" s="1"/>
      <c r="P409" s="1"/>
      <c r="Q409" s="1"/>
      <c r="R409" s="1"/>
      <c r="S409" s="1"/>
      <c r="T409" s="1"/>
      <c r="U409" s="1"/>
    </row>
    <row r="410" spans="1:21" x14ac:dyDescent="0.25">
      <c r="A410" s="1"/>
      <c r="B410" s="1"/>
      <c r="C410" s="1"/>
      <c r="D410" s="1"/>
      <c r="E410" s="1"/>
      <c r="F410" s="1"/>
      <c r="G410" s="1"/>
      <c r="H410" s="1"/>
      <c r="I410" s="1"/>
      <c r="J410" s="1"/>
      <c r="K410" s="1"/>
      <c r="L410" s="1"/>
      <c r="M410" s="1"/>
      <c r="N410" s="1"/>
      <c r="O410" s="1"/>
      <c r="P410" s="1"/>
      <c r="Q410" s="1"/>
      <c r="R410" s="1"/>
      <c r="S410" s="1"/>
      <c r="T410" s="1"/>
      <c r="U410" s="1"/>
    </row>
    <row r="411" spans="1:21" x14ac:dyDescent="0.25">
      <c r="A411" s="1"/>
      <c r="B411" s="1"/>
      <c r="C411" s="1"/>
      <c r="D411" s="1"/>
      <c r="E411" s="1"/>
      <c r="F411" s="1"/>
      <c r="G411" s="1"/>
      <c r="H411" s="1"/>
      <c r="I411" s="1"/>
      <c r="J411" s="1"/>
      <c r="K411" s="1"/>
      <c r="L411" s="1"/>
      <c r="M411" s="1"/>
      <c r="N411" s="1"/>
      <c r="O411" s="1"/>
      <c r="P411" s="1"/>
      <c r="Q411" s="1"/>
      <c r="R411" s="1"/>
      <c r="S411" s="1"/>
      <c r="T411" s="1"/>
      <c r="U411" s="1"/>
    </row>
    <row r="412" spans="1:21" x14ac:dyDescent="0.25">
      <c r="A412" s="1"/>
      <c r="B412" s="1"/>
      <c r="C412" s="1"/>
      <c r="D412" s="1"/>
      <c r="E412" s="1"/>
      <c r="F412" s="1"/>
      <c r="G412" s="1"/>
      <c r="H412" s="1"/>
      <c r="I412" s="1"/>
      <c r="J412" s="1"/>
      <c r="K412" s="1"/>
      <c r="L412" s="1"/>
      <c r="M412" s="1"/>
      <c r="N412" s="1"/>
      <c r="O412" s="1"/>
      <c r="P412" s="1"/>
      <c r="Q412" s="1"/>
      <c r="R412" s="1"/>
      <c r="S412" s="1"/>
      <c r="T412" s="1"/>
      <c r="U412" s="1"/>
    </row>
    <row r="413" spans="1:21" x14ac:dyDescent="0.25">
      <c r="A413" s="1"/>
      <c r="B413" s="1"/>
      <c r="C413" s="1"/>
      <c r="D413" s="1"/>
      <c r="E413" s="1"/>
      <c r="F413" s="1"/>
      <c r="G413" s="1"/>
      <c r="H413" s="1"/>
      <c r="I413" s="1"/>
      <c r="J413" s="1"/>
      <c r="K413" s="1"/>
      <c r="L413" s="1"/>
      <c r="M413" s="1"/>
      <c r="N413" s="1"/>
      <c r="O413" s="1"/>
      <c r="P413" s="1"/>
      <c r="Q413" s="1"/>
      <c r="R413" s="1"/>
      <c r="S413" s="1"/>
      <c r="T413" s="1"/>
      <c r="U413" s="1"/>
    </row>
    <row r="414" spans="1:21" x14ac:dyDescent="0.25">
      <c r="A414" s="1"/>
      <c r="B414" s="1"/>
      <c r="C414" s="1"/>
      <c r="D414" s="1"/>
      <c r="E414" s="1"/>
      <c r="F414" s="1"/>
      <c r="G414" s="1"/>
      <c r="H414" s="1"/>
      <c r="I414" s="1"/>
      <c r="J414" s="1"/>
      <c r="K414" s="1"/>
      <c r="L414" s="1"/>
      <c r="M414" s="1"/>
      <c r="N414" s="1"/>
      <c r="O414" s="1"/>
      <c r="P414" s="1"/>
      <c r="Q414" s="1"/>
      <c r="R414" s="1"/>
      <c r="S414" s="1"/>
      <c r="T414" s="1"/>
      <c r="U414" s="1"/>
    </row>
    <row r="415" spans="1:21" x14ac:dyDescent="0.25">
      <c r="A415" s="1"/>
      <c r="B415" s="1"/>
      <c r="C415" s="1"/>
      <c r="D415" s="1"/>
      <c r="E415" s="1"/>
      <c r="F415" s="1"/>
      <c r="G415" s="1"/>
      <c r="H415" s="1"/>
      <c r="I415" s="1"/>
      <c r="J415" s="1"/>
      <c r="K415" s="1"/>
      <c r="L415" s="1"/>
      <c r="M415" s="1"/>
      <c r="N415" s="1"/>
      <c r="O415" s="1"/>
      <c r="P415" s="1"/>
      <c r="Q415" s="1"/>
      <c r="R415" s="1"/>
      <c r="S415" s="1"/>
      <c r="T415" s="1"/>
      <c r="U415" s="1"/>
    </row>
    <row r="416" spans="1:21" x14ac:dyDescent="0.25">
      <c r="A416" s="1"/>
      <c r="B416" s="1"/>
      <c r="C416" s="1"/>
      <c r="D416" s="1"/>
      <c r="E416" s="1"/>
      <c r="F416" s="1"/>
      <c r="G416" s="1"/>
      <c r="H416" s="1"/>
      <c r="I416" s="1"/>
      <c r="J416" s="1"/>
      <c r="K416" s="1"/>
      <c r="L416" s="1"/>
      <c r="M416" s="1"/>
      <c r="N416" s="1"/>
      <c r="O416" s="1"/>
      <c r="P416" s="1"/>
      <c r="Q416" s="1"/>
      <c r="R416" s="1"/>
      <c r="S416" s="1"/>
      <c r="T416" s="1"/>
      <c r="U416" s="1"/>
    </row>
    <row r="417" spans="1:21" x14ac:dyDescent="0.25">
      <c r="A417" s="1"/>
      <c r="B417" s="1"/>
      <c r="C417" s="1"/>
      <c r="D417" s="1"/>
      <c r="E417" s="1"/>
      <c r="F417" s="1"/>
      <c r="G417" s="1"/>
      <c r="H417" s="1"/>
      <c r="I417" s="1"/>
      <c r="J417" s="1"/>
      <c r="K417" s="1"/>
      <c r="L417" s="1"/>
      <c r="M417" s="1"/>
      <c r="N417" s="1"/>
      <c r="O417" s="1"/>
      <c r="P417" s="1"/>
      <c r="Q417" s="1"/>
      <c r="R417" s="1"/>
      <c r="S417" s="1"/>
      <c r="T417" s="1"/>
      <c r="U417" s="1"/>
    </row>
    <row r="418" spans="1:21" x14ac:dyDescent="0.25">
      <c r="A418" s="1"/>
      <c r="B418" s="1"/>
      <c r="C418" s="1"/>
      <c r="D418" s="1"/>
      <c r="E418" s="1"/>
      <c r="F418" s="1"/>
      <c r="G418" s="1"/>
      <c r="H418" s="1"/>
      <c r="I418" s="1"/>
      <c r="J418" s="1"/>
      <c r="K418" s="1"/>
      <c r="L418" s="1"/>
      <c r="M418" s="1"/>
      <c r="N418" s="1"/>
      <c r="O418" s="1"/>
      <c r="P418" s="1"/>
      <c r="Q418" s="1"/>
      <c r="R418" s="1"/>
      <c r="S418" s="1"/>
      <c r="T418" s="1"/>
      <c r="U418" s="1"/>
    </row>
    <row r="419" spans="1:21" x14ac:dyDescent="0.25">
      <c r="A419" s="1"/>
      <c r="B419" s="1"/>
      <c r="C419" s="1"/>
      <c r="D419" s="1"/>
      <c r="E419" s="1"/>
      <c r="F419" s="1"/>
      <c r="G419" s="1"/>
      <c r="H419" s="1"/>
      <c r="I419" s="1"/>
      <c r="J419" s="1"/>
      <c r="K419" s="1"/>
      <c r="L419" s="1"/>
      <c r="M419" s="1"/>
      <c r="N419" s="1"/>
      <c r="O419" s="1"/>
      <c r="P419" s="1"/>
      <c r="Q419" s="1"/>
      <c r="R419" s="1"/>
      <c r="S419" s="1"/>
      <c r="T419" s="1"/>
      <c r="U419" s="1"/>
    </row>
    <row r="420" spans="1:21" x14ac:dyDescent="0.25">
      <c r="A420" s="1"/>
      <c r="B420" s="1"/>
      <c r="C420" s="1"/>
      <c r="D420" s="1"/>
      <c r="E420" s="1"/>
      <c r="F420" s="1"/>
      <c r="G420" s="1"/>
      <c r="H420" s="1"/>
      <c r="I420" s="1"/>
      <c r="J420" s="1"/>
      <c r="K420" s="1"/>
      <c r="L420" s="1"/>
      <c r="M420" s="1"/>
      <c r="N420" s="1"/>
      <c r="O420" s="1"/>
      <c r="P420" s="1"/>
      <c r="Q420" s="1"/>
      <c r="R420" s="1"/>
      <c r="S420" s="1"/>
      <c r="T420" s="1"/>
      <c r="U420" s="1"/>
    </row>
    <row r="421" spans="1:21" x14ac:dyDescent="0.25">
      <c r="A421" s="1"/>
      <c r="B421" s="1"/>
      <c r="C421" s="1"/>
      <c r="D421" s="1"/>
      <c r="E421" s="1"/>
      <c r="F421" s="1"/>
      <c r="G421" s="1"/>
      <c r="H421" s="1"/>
      <c r="I421" s="1"/>
      <c r="J421" s="1"/>
      <c r="K421" s="1"/>
      <c r="L421" s="1"/>
      <c r="M421" s="1"/>
      <c r="N421" s="1"/>
      <c r="O421" s="1"/>
      <c r="P421" s="1"/>
      <c r="Q421" s="1"/>
      <c r="R421" s="1"/>
      <c r="S421" s="1"/>
      <c r="T421" s="1"/>
      <c r="U421" s="1"/>
    </row>
    <row r="422" spans="1:21" x14ac:dyDescent="0.25">
      <c r="A422" s="1"/>
      <c r="B422" s="1"/>
      <c r="C422" s="1"/>
      <c r="D422" s="1"/>
      <c r="E422" s="1"/>
      <c r="F422" s="1"/>
      <c r="G422" s="1"/>
      <c r="H422" s="1"/>
      <c r="I422" s="1"/>
      <c r="J422" s="1"/>
      <c r="K422" s="1"/>
      <c r="L422" s="1"/>
      <c r="M422" s="1"/>
      <c r="N422" s="1"/>
      <c r="O422" s="1"/>
      <c r="P422" s="1"/>
      <c r="Q422" s="1"/>
      <c r="R422" s="1"/>
      <c r="S422" s="1"/>
      <c r="T422" s="1"/>
      <c r="U422" s="1"/>
    </row>
    <row r="423" spans="1:21" x14ac:dyDescent="0.25">
      <c r="A423" s="1"/>
      <c r="B423" s="1"/>
      <c r="C423" s="1"/>
      <c r="D423" s="1"/>
      <c r="E423" s="1"/>
      <c r="F423" s="1"/>
      <c r="G423" s="1"/>
      <c r="H423" s="1"/>
      <c r="I423" s="1"/>
      <c r="J423" s="1"/>
      <c r="K423" s="1"/>
      <c r="L423" s="1"/>
      <c r="M423" s="1"/>
      <c r="N423" s="1"/>
      <c r="O423" s="1"/>
      <c r="P423" s="1"/>
      <c r="Q423" s="1"/>
      <c r="R423" s="1"/>
      <c r="S423" s="1"/>
      <c r="T423" s="1"/>
      <c r="U423" s="1"/>
    </row>
    <row r="424" spans="1:21" x14ac:dyDescent="0.25">
      <c r="A424" s="1"/>
      <c r="B424" s="1"/>
      <c r="C424" s="1"/>
      <c r="D424" s="1"/>
      <c r="E424" s="1"/>
      <c r="F424" s="1"/>
      <c r="G424" s="1"/>
      <c r="H424" s="1"/>
      <c r="I424" s="1"/>
      <c r="J424" s="1"/>
      <c r="K424" s="1"/>
      <c r="L424" s="1"/>
      <c r="M424" s="1"/>
      <c r="N424" s="1"/>
      <c r="O424" s="1"/>
      <c r="P424" s="1"/>
      <c r="Q424" s="1"/>
      <c r="R424" s="1"/>
      <c r="S424" s="1"/>
      <c r="T424" s="1"/>
      <c r="U424" s="1"/>
    </row>
    <row r="425" spans="1:21" x14ac:dyDescent="0.25">
      <c r="A425" s="1"/>
      <c r="B425" s="1"/>
      <c r="C425" s="1"/>
      <c r="D425" s="1"/>
      <c r="E425" s="1"/>
      <c r="F425" s="1"/>
      <c r="G425" s="1"/>
      <c r="H425" s="1"/>
      <c r="I425" s="1"/>
      <c r="J425" s="1"/>
      <c r="K425" s="1"/>
      <c r="L425" s="1"/>
      <c r="M425" s="1"/>
      <c r="N425" s="1"/>
      <c r="O425" s="1"/>
      <c r="P425" s="1"/>
      <c r="Q425" s="1"/>
      <c r="R425" s="1"/>
      <c r="S425" s="1"/>
      <c r="T425" s="1"/>
      <c r="U425" s="1"/>
    </row>
    <row r="426" spans="1:21" x14ac:dyDescent="0.25">
      <c r="A426" s="1"/>
      <c r="B426" s="1"/>
      <c r="C426" s="1"/>
      <c r="D426" s="1"/>
      <c r="E426" s="1"/>
      <c r="F426" s="1"/>
      <c r="G426" s="1"/>
      <c r="H426" s="1"/>
      <c r="I426" s="1"/>
      <c r="J426" s="1"/>
      <c r="K426" s="1"/>
      <c r="L426" s="1"/>
      <c r="M426" s="1"/>
      <c r="N426" s="1"/>
      <c r="O426" s="1"/>
      <c r="P426" s="1"/>
      <c r="Q426" s="1"/>
      <c r="R426" s="1"/>
      <c r="S426" s="1"/>
      <c r="T426" s="1"/>
      <c r="U426" s="1"/>
    </row>
    <row r="427" spans="1:21" x14ac:dyDescent="0.25">
      <c r="A427" s="1"/>
      <c r="B427" s="1"/>
      <c r="C427" s="1"/>
      <c r="D427" s="1"/>
      <c r="E427" s="1"/>
      <c r="F427" s="1"/>
      <c r="G427" s="1"/>
      <c r="H427" s="1"/>
      <c r="I427" s="1"/>
      <c r="J427" s="1"/>
      <c r="K427" s="1"/>
      <c r="L427" s="1"/>
      <c r="M427" s="1"/>
      <c r="N427" s="1"/>
      <c r="O427" s="1"/>
      <c r="P427" s="1"/>
      <c r="Q427" s="1"/>
      <c r="R427" s="1"/>
      <c r="S427" s="1"/>
      <c r="T427" s="1"/>
      <c r="U427" s="1"/>
    </row>
    <row r="428" spans="1:21" x14ac:dyDescent="0.25">
      <c r="A428" s="1"/>
      <c r="B428" s="1"/>
      <c r="C428" s="1"/>
      <c r="D428" s="1"/>
      <c r="E428" s="1"/>
      <c r="F428" s="1"/>
      <c r="G428" s="1"/>
      <c r="H428" s="1"/>
      <c r="I428" s="1"/>
      <c r="J428" s="1"/>
      <c r="K428" s="1"/>
      <c r="L428" s="1"/>
      <c r="M428" s="1"/>
      <c r="N428" s="1"/>
      <c r="O428" s="1"/>
      <c r="P428" s="1"/>
      <c r="Q428" s="1"/>
      <c r="R428" s="1"/>
      <c r="S428" s="1"/>
      <c r="T428" s="1"/>
      <c r="U428" s="1"/>
    </row>
    <row r="429" spans="1:21" x14ac:dyDescent="0.25">
      <c r="A429" s="1"/>
      <c r="B429" s="1"/>
      <c r="C429" s="1"/>
      <c r="D429" s="1"/>
      <c r="E429" s="1"/>
      <c r="F429" s="1"/>
      <c r="G429" s="1"/>
      <c r="H429" s="1"/>
      <c r="I429" s="1"/>
      <c r="J429" s="1"/>
      <c r="K429" s="1"/>
      <c r="L429" s="1"/>
      <c r="M429" s="1"/>
      <c r="N429" s="1"/>
      <c r="O429" s="1"/>
      <c r="P429" s="1"/>
      <c r="Q429" s="1"/>
      <c r="R429" s="1"/>
      <c r="S429" s="1"/>
      <c r="T429" s="1"/>
      <c r="U429" s="1"/>
    </row>
    <row r="430" spans="1:21" x14ac:dyDescent="0.25">
      <c r="A430" s="1"/>
      <c r="B430" s="1"/>
      <c r="C430" s="1"/>
      <c r="D430" s="1"/>
      <c r="E430" s="1"/>
      <c r="F430" s="1"/>
      <c r="G430" s="1"/>
      <c r="H430" s="1"/>
      <c r="I430" s="1"/>
      <c r="J430" s="1"/>
      <c r="K430" s="1"/>
      <c r="L430" s="1"/>
      <c r="M430" s="1"/>
      <c r="N430" s="1"/>
      <c r="O430" s="1"/>
      <c r="P430" s="1"/>
      <c r="Q430" s="1"/>
      <c r="R430" s="1"/>
      <c r="S430" s="1"/>
      <c r="T430" s="1"/>
      <c r="U430" s="1"/>
    </row>
    <row r="431" spans="1:21" x14ac:dyDescent="0.25">
      <c r="A431" s="1"/>
      <c r="B431" s="1"/>
      <c r="C431" s="1"/>
      <c r="D431" s="1"/>
      <c r="E431" s="1"/>
      <c r="F431" s="1"/>
      <c r="G431" s="1"/>
      <c r="H431" s="1"/>
      <c r="I431" s="1"/>
      <c r="J431" s="1"/>
      <c r="K431" s="1"/>
      <c r="L431" s="1"/>
      <c r="M431" s="1"/>
      <c r="N431" s="1"/>
      <c r="O431" s="1"/>
      <c r="P431" s="1"/>
      <c r="Q431" s="1"/>
      <c r="R431" s="1"/>
      <c r="S431" s="1"/>
      <c r="T431" s="1"/>
      <c r="U431" s="1"/>
    </row>
    <row r="432" spans="1:21" x14ac:dyDescent="0.25">
      <c r="A432" s="1"/>
      <c r="B432" s="1"/>
      <c r="C432" s="1"/>
      <c r="D432" s="1"/>
      <c r="E432" s="1"/>
      <c r="F432" s="1"/>
      <c r="G432" s="1"/>
      <c r="H432" s="1"/>
      <c r="I432" s="1"/>
      <c r="J432" s="1"/>
      <c r="K432" s="1"/>
      <c r="L432" s="1"/>
      <c r="M432" s="1"/>
      <c r="N432" s="1"/>
      <c r="O432" s="1"/>
      <c r="P432" s="1"/>
      <c r="Q432" s="1"/>
      <c r="R432" s="1"/>
      <c r="S432" s="1"/>
      <c r="T432" s="1"/>
      <c r="U432" s="1"/>
    </row>
    <row r="433" spans="1:21" x14ac:dyDescent="0.25">
      <c r="A433" s="1"/>
      <c r="B433" s="1"/>
      <c r="C433" s="1"/>
      <c r="D433" s="1"/>
      <c r="E433" s="1"/>
      <c r="F433" s="1"/>
      <c r="G433" s="1"/>
      <c r="H433" s="1"/>
      <c r="I433" s="1"/>
      <c r="J433" s="1"/>
      <c r="K433" s="1"/>
      <c r="L433" s="1"/>
      <c r="M433" s="1"/>
      <c r="N433" s="1"/>
      <c r="O433" s="1"/>
      <c r="P433" s="1"/>
      <c r="Q433" s="1"/>
      <c r="R433" s="1"/>
      <c r="S433" s="1"/>
      <c r="T433" s="1"/>
      <c r="U433" s="1"/>
    </row>
    <row r="434" spans="1:21" x14ac:dyDescent="0.25">
      <c r="A434" s="1"/>
      <c r="B434" s="1"/>
      <c r="C434" s="1"/>
      <c r="D434" s="1"/>
      <c r="E434" s="1"/>
      <c r="F434" s="1"/>
      <c r="G434" s="1"/>
      <c r="H434" s="1"/>
      <c r="I434" s="1"/>
      <c r="J434" s="1"/>
      <c r="K434" s="1"/>
      <c r="L434" s="1"/>
      <c r="M434" s="1"/>
      <c r="N434" s="1"/>
      <c r="O434" s="1"/>
      <c r="P434" s="1"/>
      <c r="Q434" s="1"/>
      <c r="R434" s="1"/>
      <c r="S434" s="1"/>
      <c r="T434" s="1"/>
      <c r="U434" s="1"/>
    </row>
    <row r="435" spans="1:21" x14ac:dyDescent="0.25">
      <c r="A435" s="1"/>
      <c r="B435" s="1"/>
      <c r="C435" s="1"/>
      <c r="D435" s="1"/>
      <c r="E435" s="1"/>
      <c r="F435" s="1"/>
      <c r="G435" s="1"/>
      <c r="H435" s="1"/>
      <c r="I435" s="1"/>
      <c r="J435" s="1"/>
      <c r="K435" s="1"/>
      <c r="L435" s="1"/>
      <c r="M435" s="1"/>
      <c r="N435" s="1"/>
      <c r="O435" s="1"/>
      <c r="P435" s="1"/>
      <c r="Q435" s="1"/>
      <c r="R435" s="1"/>
      <c r="S435" s="1"/>
      <c r="T435" s="1"/>
      <c r="U435" s="1"/>
    </row>
    <row r="436" spans="1:21" x14ac:dyDescent="0.25">
      <c r="A436" s="1"/>
      <c r="B436" s="1"/>
      <c r="C436" s="1"/>
      <c r="D436" s="1"/>
      <c r="E436" s="1"/>
      <c r="F436" s="1"/>
      <c r="G436" s="1"/>
      <c r="H436" s="1"/>
      <c r="I436" s="1"/>
      <c r="J436" s="1"/>
      <c r="K436" s="1"/>
      <c r="L436" s="1"/>
      <c r="M436" s="1"/>
      <c r="N436" s="1"/>
      <c r="O436" s="1"/>
      <c r="P436" s="1"/>
      <c r="Q436" s="1"/>
      <c r="R436" s="1"/>
      <c r="S436" s="1"/>
      <c r="T436" s="1"/>
      <c r="U436" s="1"/>
    </row>
    <row r="437" spans="1:21" x14ac:dyDescent="0.25">
      <c r="A437" s="1"/>
      <c r="B437" s="1"/>
      <c r="C437" s="1"/>
      <c r="D437" s="1"/>
      <c r="E437" s="1"/>
      <c r="F437" s="1"/>
      <c r="G437" s="1"/>
      <c r="H437" s="1"/>
      <c r="I437" s="1"/>
      <c r="J437" s="1"/>
      <c r="K437" s="1"/>
      <c r="L437" s="1"/>
      <c r="M437" s="1"/>
      <c r="N437" s="1"/>
      <c r="O437" s="1"/>
      <c r="P437" s="1"/>
      <c r="Q437" s="1"/>
      <c r="R437" s="1"/>
      <c r="S437" s="1"/>
      <c r="T437" s="1"/>
      <c r="U437" s="1"/>
    </row>
    <row r="438" spans="1:21" x14ac:dyDescent="0.25">
      <c r="A438" s="1"/>
      <c r="B438" s="1"/>
      <c r="C438" s="1"/>
      <c r="D438" s="1"/>
      <c r="E438" s="1"/>
      <c r="F438" s="1"/>
      <c r="G438" s="1"/>
      <c r="H438" s="1"/>
      <c r="I438" s="1"/>
      <c r="J438" s="1"/>
      <c r="K438" s="1"/>
      <c r="L438" s="1"/>
      <c r="M438" s="1"/>
      <c r="N438" s="1"/>
      <c r="O438" s="1"/>
      <c r="P438" s="1"/>
      <c r="Q438" s="1"/>
      <c r="R438" s="1"/>
      <c r="S438" s="1"/>
      <c r="T438" s="1"/>
      <c r="U438" s="1"/>
    </row>
    <row r="439" spans="1:21" x14ac:dyDescent="0.25">
      <c r="A439" s="1"/>
      <c r="B439" s="1"/>
      <c r="C439" s="1"/>
      <c r="D439" s="1"/>
      <c r="E439" s="1"/>
      <c r="F439" s="1"/>
      <c r="G439" s="1"/>
      <c r="H439" s="1"/>
      <c r="I439" s="1"/>
      <c r="J439" s="1"/>
      <c r="K439" s="1"/>
      <c r="L439" s="1"/>
      <c r="M439" s="1"/>
      <c r="N439" s="1"/>
      <c r="O439" s="1"/>
      <c r="P439" s="1"/>
      <c r="Q439" s="1"/>
      <c r="R439" s="1"/>
      <c r="S439" s="1"/>
      <c r="T439" s="1"/>
      <c r="U439" s="1"/>
    </row>
    <row r="440" spans="1:21" x14ac:dyDescent="0.25">
      <c r="A440" s="1"/>
      <c r="B440" s="1"/>
      <c r="C440" s="1"/>
      <c r="D440" s="1"/>
      <c r="E440" s="1"/>
      <c r="F440" s="1"/>
      <c r="G440" s="1"/>
      <c r="H440" s="1"/>
      <c r="I440" s="1"/>
      <c r="J440" s="1"/>
      <c r="K440" s="1"/>
      <c r="L440" s="1"/>
      <c r="M440" s="1"/>
      <c r="N440" s="1"/>
      <c r="O440" s="1"/>
      <c r="P440" s="1"/>
      <c r="Q440" s="1"/>
      <c r="R440" s="1"/>
      <c r="S440" s="1"/>
      <c r="T440" s="1"/>
      <c r="U440" s="1"/>
    </row>
    <row r="441" spans="1:21" x14ac:dyDescent="0.25">
      <c r="A441" s="1"/>
      <c r="B441" s="1"/>
      <c r="C441" s="1"/>
      <c r="D441" s="1"/>
      <c r="E441" s="1"/>
      <c r="F441" s="1"/>
      <c r="G441" s="1"/>
      <c r="H441" s="1"/>
      <c r="I441" s="1"/>
      <c r="J441" s="1"/>
      <c r="K441" s="1"/>
      <c r="L441" s="1"/>
      <c r="M441" s="1"/>
      <c r="N441" s="1"/>
      <c r="O441" s="1"/>
      <c r="P441" s="1"/>
      <c r="Q441" s="1"/>
      <c r="R441" s="1"/>
      <c r="S441" s="1"/>
      <c r="T441" s="1"/>
      <c r="U441" s="1"/>
    </row>
    <row r="442" spans="1:21" x14ac:dyDescent="0.25">
      <c r="A442" s="1"/>
      <c r="B442" s="1"/>
      <c r="C442" s="1"/>
      <c r="D442" s="1"/>
      <c r="E442" s="1"/>
      <c r="F442" s="1"/>
      <c r="G442" s="1"/>
      <c r="H442" s="1"/>
      <c r="I442" s="1"/>
      <c r="J442" s="1"/>
      <c r="K442" s="1"/>
      <c r="L442" s="1"/>
      <c r="M442" s="1"/>
      <c r="N442" s="1"/>
      <c r="O442" s="1"/>
      <c r="P442" s="1"/>
      <c r="Q442" s="1"/>
      <c r="R442" s="1"/>
      <c r="S442" s="1"/>
      <c r="T442" s="1"/>
      <c r="U442" s="1"/>
    </row>
    <row r="443" spans="1:21" x14ac:dyDescent="0.25">
      <c r="A443" s="1"/>
      <c r="B443" s="1"/>
      <c r="C443" s="1"/>
      <c r="D443" s="1"/>
      <c r="E443" s="1"/>
      <c r="F443" s="1"/>
      <c r="G443" s="1"/>
      <c r="H443" s="1"/>
      <c r="I443" s="1"/>
      <c r="J443" s="1"/>
      <c r="K443" s="1"/>
      <c r="L443" s="1"/>
      <c r="M443" s="1"/>
      <c r="N443" s="1"/>
      <c r="O443" s="1"/>
      <c r="P443" s="1"/>
      <c r="Q443" s="1"/>
      <c r="R443" s="1"/>
      <c r="S443" s="1"/>
      <c r="T443" s="1"/>
      <c r="U443" s="1"/>
    </row>
    <row r="444" spans="1:21" x14ac:dyDescent="0.25">
      <c r="A444" s="1"/>
      <c r="B444" s="1"/>
      <c r="C444" s="1"/>
      <c r="D444" s="1"/>
      <c r="E444" s="1"/>
      <c r="F444" s="1"/>
      <c r="G444" s="1"/>
      <c r="H444" s="1"/>
      <c r="I444" s="1"/>
      <c r="J444" s="1"/>
      <c r="K444" s="1"/>
      <c r="L444" s="1"/>
      <c r="M444" s="1"/>
      <c r="N444" s="1"/>
      <c r="O444" s="1"/>
      <c r="P444" s="1"/>
      <c r="Q444" s="1"/>
      <c r="R444" s="1"/>
      <c r="S444" s="1"/>
      <c r="T444" s="1"/>
      <c r="U444" s="1"/>
    </row>
    <row r="445" spans="1:21" x14ac:dyDescent="0.25">
      <c r="A445" s="1"/>
      <c r="B445" s="1"/>
      <c r="C445" s="1"/>
      <c r="D445" s="1"/>
      <c r="E445" s="1"/>
      <c r="F445" s="1"/>
      <c r="G445" s="1"/>
      <c r="H445" s="1"/>
      <c r="I445" s="1"/>
      <c r="J445" s="1"/>
      <c r="K445" s="1"/>
      <c r="L445" s="1"/>
      <c r="M445" s="1"/>
      <c r="N445" s="1"/>
      <c r="O445" s="1"/>
      <c r="P445" s="1"/>
      <c r="Q445" s="1"/>
      <c r="R445" s="1"/>
      <c r="S445" s="1"/>
      <c r="T445" s="1"/>
      <c r="U445" s="1"/>
    </row>
    <row r="446" spans="1:21" x14ac:dyDescent="0.25">
      <c r="A446" s="1"/>
      <c r="B446" s="1"/>
      <c r="C446" s="1"/>
      <c r="D446" s="1"/>
      <c r="E446" s="1"/>
      <c r="F446" s="1"/>
      <c r="G446" s="1"/>
      <c r="H446" s="1"/>
      <c r="I446" s="1"/>
      <c r="J446" s="1"/>
      <c r="K446" s="1"/>
      <c r="L446" s="1"/>
      <c r="M446" s="1"/>
      <c r="N446" s="1"/>
      <c r="O446" s="1"/>
      <c r="P446" s="1"/>
      <c r="Q446" s="1"/>
      <c r="R446" s="1"/>
      <c r="S446" s="1"/>
      <c r="T446" s="1"/>
      <c r="U446" s="1"/>
    </row>
    <row r="447" spans="1:21" x14ac:dyDescent="0.25">
      <c r="A447" s="1"/>
      <c r="B447" s="1"/>
      <c r="C447" s="1"/>
      <c r="D447" s="1"/>
      <c r="E447" s="1"/>
      <c r="F447" s="1"/>
      <c r="G447" s="1"/>
      <c r="H447" s="1"/>
      <c r="I447" s="1"/>
      <c r="J447" s="1"/>
      <c r="K447" s="1"/>
      <c r="L447" s="1"/>
      <c r="M447" s="1"/>
      <c r="N447" s="1"/>
      <c r="O447" s="1"/>
      <c r="P447" s="1"/>
      <c r="Q447" s="1"/>
      <c r="R447" s="1"/>
      <c r="S447" s="1"/>
      <c r="T447" s="1"/>
      <c r="U447" s="1"/>
    </row>
    <row r="448" spans="1:21" x14ac:dyDescent="0.25">
      <c r="A448" s="1"/>
      <c r="B448" s="1"/>
      <c r="C448" s="1"/>
      <c r="D448" s="1"/>
      <c r="E448" s="1"/>
      <c r="F448" s="1"/>
      <c r="G448" s="1"/>
      <c r="H448" s="1"/>
      <c r="I448" s="1"/>
      <c r="J448" s="1"/>
      <c r="K448" s="1"/>
      <c r="L448" s="1"/>
      <c r="M448" s="1"/>
      <c r="N448" s="1"/>
      <c r="O448" s="1"/>
      <c r="P448" s="1"/>
      <c r="Q448" s="1"/>
      <c r="R448" s="1"/>
      <c r="S448" s="1"/>
      <c r="T448" s="1"/>
      <c r="U448" s="1"/>
    </row>
    <row r="449" spans="1:21" x14ac:dyDescent="0.25">
      <c r="A449" s="1"/>
      <c r="B449" s="1"/>
      <c r="C449" s="1"/>
      <c r="D449" s="1"/>
      <c r="E449" s="1"/>
      <c r="F449" s="1"/>
      <c r="G449" s="1"/>
      <c r="H449" s="1"/>
      <c r="I449" s="1"/>
      <c r="J449" s="1"/>
      <c r="K449" s="1"/>
      <c r="L449" s="1"/>
      <c r="M449" s="1"/>
      <c r="N449" s="1"/>
      <c r="O449" s="1"/>
      <c r="P449" s="1"/>
      <c r="Q449" s="1"/>
      <c r="R449" s="1"/>
      <c r="S449" s="1"/>
      <c r="T449" s="1"/>
      <c r="U449" s="1"/>
    </row>
    <row r="450" spans="1:21" x14ac:dyDescent="0.25">
      <c r="A450" s="1"/>
      <c r="B450" s="1"/>
      <c r="C450" s="1"/>
      <c r="D450" s="1"/>
      <c r="E450" s="1"/>
      <c r="F450" s="1"/>
      <c r="G450" s="1"/>
      <c r="H450" s="1"/>
      <c r="I450" s="1"/>
      <c r="J450" s="1"/>
      <c r="K450" s="1"/>
      <c r="L450" s="1"/>
      <c r="M450" s="1"/>
      <c r="N450" s="1"/>
      <c r="O450" s="1"/>
      <c r="P450" s="1"/>
      <c r="Q450" s="1"/>
      <c r="R450" s="1"/>
      <c r="S450" s="1"/>
      <c r="T450" s="1"/>
      <c r="U450" s="1"/>
    </row>
    <row r="451" spans="1:21" x14ac:dyDescent="0.25">
      <c r="A451" s="1"/>
      <c r="B451" s="1"/>
      <c r="C451" s="1"/>
      <c r="D451" s="1"/>
      <c r="E451" s="1"/>
      <c r="F451" s="1"/>
      <c r="G451" s="1"/>
      <c r="H451" s="1"/>
      <c r="I451" s="1"/>
      <c r="J451" s="1"/>
      <c r="K451" s="1"/>
      <c r="L451" s="1"/>
      <c r="M451" s="1"/>
      <c r="N451" s="1"/>
      <c r="O451" s="1"/>
      <c r="P451" s="1"/>
      <c r="Q451" s="1"/>
      <c r="R451" s="1"/>
      <c r="S451" s="1"/>
      <c r="T451" s="1"/>
      <c r="U451" s="1"/>
    </row>
    <row r="452" spans="1:21" x14ac:dyDescent="0.25">
      <c r="A452" s="1"/>
      <c r="B452" s="1"/>
      <c r="C452" s="1"/>
      <c r="D452" s="1"/>
      <c r="E452" s="1"/>
      <c r="F452" s="1"/>
      <c r="G452" s="1"/>
      <c r="H452" s="1"/>
      <c r="I452" s="1"/>
      <c r="J452" s="1"/>
      <c r="K452" s="1"/>
      <c r="L452" s="1"/>
      <c r="M452" s="1"/>
      <c r="N452" s="1"/>
      <c r="O452" s="1"/>
      <c r="P452" s="1"/>
      <c r="Q452" s="1"/>
      <c r="R452" s="1"/>
      <c r="S452" s="1"/>
      <c r="T452" s="1"/>
      <c r="U452" s="1"/>
    </row>
    <row r="453" spans="1:21" x14ac:dyDescent="0.25">
      <c r="A453" s="1"/>
      <c r="B453" s="1"/>
      <c r="C453" s="1"/>
      <c r="D453" s="1"/>
      <c r="E453" s="1"/>
      <c r="F453" s="1"/>
      <c r="G453" s="1"/>
      <c r="H453" s="1"/>
      <c r="I453" s="1"/>
      <c r="J453" s="1"/>
      <c r="K453" s="1"/>
      <c r="L453" s="1"/>
      <c r="M453" s="1"/>
      <c r="N453" s="1"/>
      <c r="O453" s="1"/>
      <c r="P453" s="1"/>
      <c r="Q453" s="1"/>
      <c r="R453" s="1"/>
      <c r="S453" s="1"/>
      <c r="T453" s="1"/>
      <c r="U453" s="1"/>
    </row>
    <row r="454" spans="1:21" x14ac:dyDescent="0.25">
      <c r="A454" s="1"/>
      <c r="B454" s="1"/>
      <c r="C454" s="1"/>
      <c r="D454" s="1"/>
      <c r="E454" s="1"/>
      <c r="F454" s="1"/>
      <c r="G454" s="1"/>
      <c r="H454" s="1"/>
      <c r="I454" s="1"/>
      <c r="J454" s="1"/>
      <c r="K454" s="1"/>
      <c r="L454" s="1"/>
      <c r="M454" s="1"/>
      <c r="N454" s="1"/>
      <c r="O454" s="1"/>
      <c r="P454" s="1"/>
      <c r="Q454" s="1"/>
      <c r="R454" s="1"/>
      <c r="S454" s="1"/>
      <c r="T454" s="1"/>
      <c r="U454" s="1"/>
    </row>
    <row r="455" spans="1:21" x14ac:dyDescent="0.25">
      <c r="A455" s="1"/>
      <c r="B455" s="1"/>
      <c r="C455" s="1"/>
      <c r="D455" s="1"/>
      <c r="E455" s="1"/>
      <c r="F455" s="1"/>
      <c r="G455" s="1"/>
      <c r="H455" s="1"/>
      <c r="I455" s="1"/>
      <c r="J455" s="1"/>
      <c r="K455" s="1"/>
      <c r="L455" s="1"/>
      <c r="M455" s="1"/>
      <c r="N455" s="1"/>
      <c r="O455" s="1"/>
      <c r="P455" s="1"/>
      <c r="Q455" s="1"/>
      <c r="R455" s="1"/>
      <c r="S455" s="1"/>
      <c r="T455" s="1"/>
      <c r="U455" s="1"/>
    </row>
    <row r="456" spans="1:21" x14ac:dyDescent="0.25">
      <c r="A456" s="1"/>
      <c r="B456" s="1"/>
      <c r="C456" s="1"/>
      <c r="D456" s="1"/>
      <c r="E456" s="1"/>
      <c r="F456" s="1"/>
      <c r="G456" s="1"/>
      <c r="H456" s="1"/>
      <c r="I456" s="1"/>
      <c r="J456" s="1"/>
      <c r="K456" s="1"/>
      <c r="L456" s="1"/>
      <c r="M456" s="1"/>
      <c r="N456" s="1"/>
      <c r="O456" s="1"/>
      <c r="P456" s="1"/>
      <c r="Q456" s="1"/>
      <c r="R456" s="1"/>
      <c r="S456" s="1"/>
      <c r="T456" s="1"/>
      <c r="U456" s="1"/>
    </row>
    <row r="457" spans="1:21" x14ac:dyDescent="0.25">
      <c r="A457" s="1"/>
      <c r="B457" s="1"/>
      <c r="C457" s="1"/>
      <c r="D457" s="1"/>
      <c r="E457" s="1"/>
      <c r="F457" s="1"/>
      <c r="G457" s="1"/>
      <c r="H457" s="1"/>
      <c r="I457" s="1"/>
      <c r="J457" s="1"/>
      <c r="K457" s="1"/>
      <c r="L457" s="1"/>
      <c r="M457" s="1"/>
      <c r="N457" s="1"/>
      <c r="O457" s="1"/>
      <c r="P457" s="1"/>
      <c r="Q457" s="1"/>
      <c r="R457" s="1"/>
      <c r="S457" s="1"/>
      <c r="T457" s="1"/>
      <c r="U457" s="1"/>
    </row>
    <row r="458" spans="1:21" x14ac:dyDescent="0.25">
      <c r="A458" s="1"/>
      <c r="B458" s="1"/>
      <c r="C458" s="1"/>
      <c r="D458" s="1"/>
      <c r="E458" s="1"/>
      <c r="F458" s="1"/>
      <c r="G458" s="1"/>
      <c r="H458" s="1"/>
      <c r="I458" s="1"/>
      <c r="J458" s="1"/>
      <c r="K458" s="1"/>
      <c r="L458" s="1"/>
      <c r="M458" s="1"/>
      <c r="N458" s="1"/>
      <c r="O458" s="1"/>
      <c r="P458" s="1"/>
      <c r="Q458" s="1"/>
      <c r="R458" s="1"/>
      <c r="S458" s="1"/>
      <c r="T458" s="1"/>
      <c r="U458" s="1"/>
    </row>
    <row r="459" spans="1:21" x14ac:dyDescent="0.25">
      <c r="A459" s="1"/>
      <c r="B459" s="1"/>
      <c r="C459" s="1"/>
      <c r="D459" s="1"/>
      <c r="E459" s="1"/>
      <c r="F459" s="1"/>
      <c r="G459" s="1"/>
      <c r="H459" s="1"/>
      <c r="I459" s="1"/>
      <c r="J459" s="1"/>
      <c r="K459" s="1"/>
      <c r="L459" s="1"/>
      <c r="M459" s="1"/>
      <c r="N459" s="1"/>
      <c r="O459" s="1"/>
      <c r="P459" s="1"/>
      <c r="Q459" s="1"/>
      <c r="R459" s="1"/>
      <c r="S459" s="1"/>
      <c r="T459" s="1"/>
      <c r="U459" s="1"/>
    </row>
    <row r="460" spans="1:21" x14ac:dyDescent="0.25">
      <c r="A460" s="1"/>
      <c r="B460" s="1"/>
      <c r="C460" s="1"/>
      <c r="D460" s="1"/>
      <c r="E460" s="1"/>
      <c r="F460" s="1"/>
      <c r="G460" s="1"/>
      <c r="H460" s="1"/>
      <c r="I460" s="1"/>
      <c r="J460" s="1"/>
      <c r="K460" s="1"/>
      <c r="L460" s="1"/>
      <c r="M460" s="1"/>
      <c r="N460" s="1"/>
      <c r="O460" s="1"/>
      <c r="P460" s="1"/>
      <c r="Q460" s="1"/>
      <c r="R460" s="1"/>
      <c r="S460" s="1"/>
      <c r="T460" s="1"/>
      <c r="U460" s="1"/>
    </row>
    <row r="461" spans="1:21" x14ac:dyDescent="0.25">
      <c r="A461" s="1"/>
      <c r="B461" s="1"/>
      <c r="C461" s="1"/>
      <c r="D461" s="1"/>
      <c r="E461" s="1"/>
      <c r="F461" s="1"/>
      <c r="G461" s="1"/>
      <c r="H461" s="1"/>
      <c r="I461" s="1"/>
      <c r="J461" s="1"/>
      <c r="K461" s="1"/>
      <c r="L461" s="1"/>
      <c r="M461" s="1"/>
      <c r="N461" s="1"/>
      <c r="O461" s="1"/>
      <c r="P461" s="1"/>
      <c r="Q461" s="1"/>
      <c r="R461" s="1"/>
      <c r="S461" s="1"/>
      <c r="T461" s="1"/>
      <c r="U461" s="1"/>
    </row>
    <row r="462" spans="1:21" x14ac:dyDescent="0.25">
      <c r="A462" s="1"/>
      <c r="B462" s="1"/>
      <c r="C462" s="1"/>
      <c r="D462" s="1"/>
      <c r="E462" s="1"/>
      <c r="F462" s="1"/>
      <c r="G462" s="1"/>
      <c r="H462" s="1"/>
      <c r="I462" s="1"/>
      <c r="J462" s="1"/>
      <c r="K462" s="1"/>
      <c r="L462" s="1"/>
      <c r="M462" s="1"/>
      <c r="N462" s="1"/>
      <c r="O462" s="1"/>
      <c r="P462" s="1"/>
      <c r="Q462" s="1"/>
      <c r="R462" s="1"/>
      <c r="S462" s="1"/>
      <c r="T462" s="1"/>
      <c r="U462" s="1"/>
    </row>
    <row r="463" spans="1:21" x14ac:dyDescent="0.25">
      <c r="A463" s="1"/>
      <c r="B463" s="1"/>
      <c r="C463" s="1"/>
      <c r="D463" s="1"/>
      <c r="E463" s="1"/>
      <c r="F463" s="1"/>
      <c r="G463" s="1"/>
      <c r="H463" s="1"/>
      <c r="I463" s="1"/>
      <c r="J463" s="1"/>
      <c r="K463" s="1"/>
      <c r="L463" s="1"/>
      <c r="M463" s="1"/>
      <c r="N463" s="1"/>
      <c r="O463" s="1"/>
      <c r="P463" s="1"/>
      <c r="Q463" s="1"/>
      <c r="R463" s="1"/>
      <c r="S463" s="1"/>
      <c r="T463" s="1"/>
      <c r="U463" s="1"/>
    </row>
    <row r="464" spans="1:21" x14ac:dyDescent="0.25">
      <c r="A464" s="1"/>
      <c r="B464" s="1"/>
      <c r="C464" s="1"/>
      <c r="D464" s="1"/>
      <c r="E464" s="1"/>
      <c r="F464" s="1"/>
      <c r="G464" s="1"/>
      <c r="H464" s="1"/>
      <c r="I464" s="1"/>
      <c r="J464" s="1"/>
      <c r="K464" s="1"/>
      <c r="L464" s="1"/>
      <c r="M464" s="1"/>
      <c r="N464" s="1"/>
      <c r="O464" s="1"/>
      <c r="P464" s="1"/>
      <c r="Q464" s="1"/>
      <c r="R464" s="1"/>
      <c r="S464" s="1"/>
      <c r="T464" s="1"/>
      <c r="U464" s="1"/>
    </row>
    <row r="465" spans="1:21" x14ac:dyDescent="0.25">
      <c r="A465" s="1"/>
      <c r="B465" s="1"/>
      <c r="C465" s="1"/>
      <c r="D465" s="1"/>
      <c r="E465" s="1"/>
      <c r="F465" s="1"/>
      <c r="G465" s="1"/>
      <c r="H465" s="1"/>
      <c r="I465" s="1"/>
      <c r="J465" s="1"/>
      <c r="K465" s="1"/>
      <c r="L465" s="1"/>
      <c r="M465" s="1"/>
      <c r="N465" s="1"/>
      <c r="O465" s="1"/>
      <c r="P465" s="1"/>
      <c r="Q465" s="1"/>
      <c r="R465" s="1"/>
      <c r="S465" s="1"/>
      <c r="T465" s="1"/>
      <c r="U465" s="1"/>
    </row>
    <row r="466" spans="1:21" x14ac:dyDescent="0.25">
      <c r="A466" s="1"/>
      <c r="B466" s="1"/>
      <c r="C466" s="1"/>
      <c r="D466" s="1"/>
      <c r="E466" s="1"/>
      <c r="F466" s="1"/>
      <c r="G466" s="1"/>
      <c r="H466" s="1"/>
      <c r="I466" s="1"/>
      <c r="J466" s="1"/>
      <c r="K466" s="1"/>
      <c r="L466" s="1"/>
      <c r="M466" s="1"/>
      <c r="N466" s="1"/>
      <c r="O466" s="1"/>
      <c r="P466" s="1"/>
      <c r="Q466" s="1"/>
      <c r="R466" s="1"/>
      <c r="S466" s="1"/>
      <c r="T466" s="1"/>
      <c r="U466" s="1"/>
    </row>
    <row r="467" spans="1:21" x14ac:dyDescent="0.25">
      <c r="A467" s="1"/>
      <c r="B467" s="1"/>
      <c r="C467" s="1"/>
      <c r="D467" s="1"/>
      <c r="E467" s="1"/>
      <c r="F467" s="1"/>
      <c r="G467" s="1"/>
      <c r="H467" s="1"/>
      <c r="I467" s="1"/>
      <c r="J467" s="1"/>
      <c r="K467" s="1"/>
      <c r="L467" s="1"/>
      <c r="M467" s="1"/>
      <c r="N467" s="1"/>
      <c r="O467" s="1"/>
      <c r="P467" s="1"/>
      <c r="Q467" s="1"/>
      <c r="R467" s="1"/>
      <c r="S467" s="1"/>
      <c r="T467" s="1"/>
      <c r="U467" s="1"/>
    </row>
    <row r="468" spans="1:21" x14ac:dyDescent="0.25">
      <c r="A468" s="1"/>
      <c r="B468" s="1"/>
      <c r="C468" s="1"/>
      <c r="D468" s="1"/>
      <c r="E468" s="1"/>
      <c r="F468" s="1"/>
      <c r="G468" s="1"/>
      <c r="H468" s="1"/>
      <c r="I468" s="1"/>
      <c r="J468" s="1"/>
      <c r="K468" s="1"/>
      <c r="L468" s="1"/>
      <c r="M468" s="1"/>
      <c r="N468" s="1"/>
      <c r="O468" s="1"/>
      <c r="P468" s="1"/>
      <c r="Q468" s="1"/>
      <c r="R468" s="1"/>
      <c r="S468" s="1"/>
      <c r="T468" s="1"/>
      <c r="U468" s="1"/>
    </row>
    <row r="469" spans="1:21" x14ac:dyDescent="0.25">
      <c r="A469" s="1"/>
      <c r="B469" s="1"/>
      <c r="C469" s="1"/>
      <c r="D469" s="1"/>
      <c r="E469" s="1"/>
      <c r="F469" s="1"/>
      <c r="G469" s="1"/>
      <c r="H469" s="1"/>
      <c r="I469" s="1"/>
      <c r="J469" s="1"/>
      <c r="K469" s="1"/>
      <c r="L469" s="1"/>
      <c r="M469" s="1"/>
      <c r="N469" s="1"/>
      <c r="O469" s="1"/>
      <c r="P469" s="1"/>
      <c r="Q469" s="1"/>
      <c r="R469" s="1"/>
      <c r="S469" s="1"/>
      <c r="T469" s="1"/>
      <c r="U469" s="1"/>
    </row>
    <row r="470" spans="1:21" x14ac:dyDescent="0.25">
      <c r="A470" s="1"/>
      <c r="B470" s="1"/>
      <c r="C470" s="1"/>
      <c r="D470" s="1"/>
      <c r="E470" s="1"/>
      <c r="F470" s="1"/>
      <c r="G470" s="1"/>
      <c r="H470" s="1"/>
      <c r="I470" s="1"/>
      <c r="J470" s="1"/>
      <c r="K470" s="1"/>
      <c r="L470" s="1"/>
      <c r="M470" s="1"/>
      <c r="N470" s="1"/>
      <c r="O470" s="1"/>
      <c r="P470" s="1"/>
      <c r="Q470" s="1"/>
      <c r="R470" s="1"/>
      <c r="S470" s="1"/>
      <c r="T470" s="1"/>
      <c r="U470" s="1"/>
    </row>
    <row r="471" spans="1:21" x14ac:dyDescent="0.25">
      <c r="A471" s="1"/>
      <c r="B471" s="1"/>
      <c r="C471" s="1"/>
      <c r="D471" s="1"/>
      <c r="E471" s="1"/>
      <c r="F471" s="1"/>
      <c r="G471" s="1"/>
      <c r="H471" s="1"/>
      <c r="I471" s="1"/>
      <c r="J471" s="1"/>
      <c r="K471" s="1"/>
      <c r="L471" s="1"/>
      <c r="M471" s="1"/>
      <c r="N471" s="1"/>
      <c r="O471" s="1"/>
      <c r="P471" s="1"/>
      <c r="Q471" s="1"/>
      <c r="R471" s="1"/>
      <c r="S471" s="1"/>
      <c r="T471" s="1"/>
      <c r="U471" s="1"/>
    </row>
    <row r="472" spans="1:21" x14ac:dyDescent="0.25">
      <c r="A472" s="1"/>
      <c r="B472" s="1"/>
      <c r="C472" s="1"/>
      <c r="D472" s="1"/>
      <c r="E472" s="1"/>
      <c r="F472" s="1"/>
      <c r="G472" s="1"/>
      <c r="H472" s="1"/>
      <c r="I472" s="1"/>
      <c r="J472" s="1"/>
      <c r="K472" s="1"/>
      <c r="L472" s="1"/>
      <c r="M472" s="1"/>
      <c r="N472" s="1"/>
      <c r="O472" s="1"/>
      <c r="P472" s="1"/>
      <c r="Q472" s="1"/>
      <c r="R472" s="1"/>
      <c r="S472" s="1"/>
      <c r="T472" s="1"/>
      <c r="U472" s="1"/>
    </row>
    <row r="473" spans="1:21" x14ac:dyDescent="0.25">
      <c r="A473" s="1"/>
      <c r="B473" s="1"/>
      <c r="C473" s="1"/>
      <c r="D473" s="1"/>
      <c r="E473" s="1"/>
      <c r="F473" s="1"/>
      <c r="G473" s="1"/>
      <c r="H473" s="1"/>
      <c r="I473" s="1"/>
      <c r="J473" s="1"/>
      <c r="K473" s="1"/>
      <c r="L473" s="1"/>
      <c r="M473" s="1"/>
      <c r="N473" s="1"/>
      <c r="O473" s="1"/>
      <c r="P473" s="1"/>
      <c r="Q473" s="1"/>
      <c r="R473" s="1"/>
      <c r="S473" s="1"/>
      <c r="T473" s="1"/>
      <c r="U473" s="1"/>
    </row>
    <row r="474" spans="1:21" x14ac:dyDescent="0.25">
      <c r="A474" s="1"/>
      <c r="B474" s="1"/>
      <c r="C474" s="1"/>
      <c r="D474" s="1"/>
      <c r="E474" s="1"/>
      <c r="F474" s="1"/>
      <c r="G474" s="1"/>
      <c r="H474" s="1"/>
      <c r="I474" s="1"/>
      <c r="J474" s="1"/>
      <c r="K474" s="1"/>
      <c r="L474" s="1"/>
      <c r="M474" s="1"/>
      <c r="N474" s="1"/>
      <c r="O474" s="1"/>
      <c r="P474" s="1"/>
      <c r="Q474" s="1"/>
      <c r="R474" s="1"/>
      <c r="S474" s="1"/>
      <c r="T474" s="1"/>
      <c r="U474" s="1"/>
    </row>
    <row r="475" spans="1:21" x14ac:dyDescent="0.25">
      <c r="A475" s="1"/>
      <c r="B475" s="1"/>
      <c r="C475" s="1"/>
      <c r="D475" s="1"/>
      <c r="E475" s="1"/>
      <c r="F475" s="1"/>
      <c r="G475" s="1"/>
      <c r="H475" s="1"/>
      <c r="I475" s="1"/>
      <c r="J475" s="1"/>
      <c r="K475" s="1"/>
      <c r="L475" s="1"/>
      <c r="M475" s="1"/>
      <c r="N475" s="1"/>
      <c r="O475" s="1"/>
      <c r="P475" s="1"/>
      <c r="Q475" s="1"/>
      <c r="R475" s="1"/>
      <c r="S475" s="1"/>
      <c r="T475" s="1"/>
      <c r="U475" s="1"/>
    </row>
    <row r="476" spans="1:21" x14ac:dyDescent="0.25">
      <c r="A476" s="1"/>
      <c r="B476" s="1"/>
      <c r="C476" s="1"/>
      <c r="D476" s="1"/>
      <c r="E476" s="1"/>
      <c r="F476" s="1"/>
      <c r="G476" s="1"/>
      <c r="H476" s="1"/>
      <c r="I476" s="1"/>
      <c r="J476" s="1"/>
      <c r="K476" s="1"/>
      <c r="L476" s="1"/>
      <c r="M476" s="1"/>
      <c r="N476" s="1"/>
      <c r="O476" s="1"/>
      <c r="P476" s="1"/>
      <c r="Q476" s="1"/>
      <c r="R476" s="1"/>
      <c r="S476" s="1"/>
      <c r="T476" s="1"/>
      <c r="U476" s="1"/>
    </row>
    <row r="477" spans="1:21" x14ac:dyDescent="0.25">
      <c r="A477" s="1"/>
      <c r="B477" s="1"/>
      <c r="C477" s="1"/>
      <c r="D477" s="1"/>
      <c r="E477" s="1"/>
      <c r="F477" s="1"/>
      <c r="G477" s="1"/>
      <c r="H477" s="1"/>
      <c r="I477" s="1"/>
      <c r="J477" s="1"/>
      <c r="K477" s="1"/>
      <c r="L477" s="1"/>
      <c r="M477" s="1"/>
      <c r="N477" s="1"/>
      <c r="O477" s="1"/>
      <c r="P477" s="1"/>
      <c r="Q477" s="1"/>
      <c r="R477" s="1"/>
      <c r="S477" s="1"/>
      <c r="T477" s="1"/>
      <c r="U477" s="1"/>
    </row>
    <row r="478" spans="1:21" x14ac:dyDescent="0.25">
      <c r="A478" s="1"/>
      <c r="B478" s="1"/>
      <c r="C478" s="1"/>
      <c r="D478" s="1"/>
      <c r="E478" s="1"/>
      <c r="F478" s="1"/>
      <c r="G478" s="1"/>
      <c r="H478" s="1"/>
      <c r="I478" s="1"/>
      <c r="J478" s="1"/>
      <c r="K478" s="1"/>
      <c r="L478" s="1"/>
      <c r="M478" s="1"/>
      <c r="N478" s="1"/>
      <c r="O478" s="1"/>
      <c r="P478" s="1"/>
      <c r="Q478" s="1"/>
      <c r="R478" s="1"/>
      <c r="S478" s="1"/>
      <c r="T478" s="1"/>
      <c r="U478" s="1"/>
    </row>
    <row r="479" spans="1:21" x14ac:dyDescent="0.25">
      <c r="A479" s="1"/>
      <c r="B479" s="1"/>
      <c r="C479" s="1"/>
      <c r="D479" s="1"/>
      <c r="E479" s="1"/>
      <c r="F479" s="1"/>
      <c r="G479" s="1"/>
      <c r="H479" s="1"/>
      <c r="I479" s="1"/>
      <c r="J479" s="1"/>
      <c r="K479" s="1"/>
      <c r="L479" s="1"/>
      <c r="M479" s="1"/>
      <c r="N479" s="1"/>
      <c r="O479" s="1"/>
      <c r="P479" s="1"/>
      <c r="Q479" s="1"/>
      <c r="R479" s="1"/>
      <c r="S479" s="1"/>
      <c r="T479" s="1"/>
      <c r="U479" s="1"/>
    </row>
    <row r="480" spans="1:21" x14ac:dyDescent="0.25">
      <c r="A480" s="1"/>
      <c r="B480" s="1"/>
      <c r="C480" s="1"/>
      <c r="D480" s="1"/>
      <c r="E480" s="1"/>
      <c r="F480" s="1"/>
      <c r="G480" s="1"/>
      <c r="H480" s="1"/>
      <c r="I480" s="1"/>
      <c r="J480" s="1"/>
      <c r="K480" s="1"/>
      <c r="L480" s="1"/>
      <c r="M480" s="1"/>
      <c r="N480" s="1"/>
      <c r="O480" s="1"/>
      <c r="P480" s="1"/>
      <c r="Q480" s="1"/>
      <c r="R480" s="1"/>
      <c r="S480" s="1"/>
      <c r="T480" s="1"/>
      <c r="U480" s="1"/>
    </row>
    <row r="481" spans="1:21" x14ac:dyDescent="0.25">
      <c r="A481" s="1"/>
      <c r="B481" s="1"/>
      <c r="C481" s="1"/>
      <c r="D481" s="1"/>
      <c r="E481" s="1"/>
      <c r="F481" s="1"/>
      <c r="G481" s="1"/>
      <c r="H481" s="1"/>
      <c r="I481" s="1"/>
      <c r="J481" s="1"/>
      <c r="K481" s="1"/>
      <c r="L481" s="1"/>
      <c r="M481" s="1"/>
      <c r="N481" s="1"/>
      <c r="O481" s="1"/>
      <c r="P481" s="1"/>
      <c r="Q481" s="1"/>
      <c r="R481" s="1"/>
      <c r="S481" s="1"/>
      <c r="T481" s="1"/>
      <c r="U481" s="1"/>
    </row>
    <row r="482" spans="1:21" x14ac:dyDescent="0.25">
      <c r="A482" s="1"/>
      <c r="B482" s="1"/>
      <c r="C482" s="1"/>
      <c r="D482" s="1"/>
      <c r="E482" s="1"/>
      <c r="F482" s="1"/>
      <c r="G482" s="1"/>
      <c r="H482" s="1"/>
      <c r="I482" s="1"/>
      <c r="J482" s="1"/>
      <c r="K482" s="1"/>
      <c r="L482" s="1"/>
      <c r="M482" s="1"/>
      <c r="N482" s="1"/>
      <c r="O482" s="1"/>
      <c r="P482" s="1"/>
      <c r="Q482" s="1"/>
      <c r="R482" s="1"/>
      <c r="S482" s="1"/>
      <c r="T482" s="1"/>
      <c r="U482" s="1"/>
    </row>
    <row r="483" spans="1:21" x14ac:dyDescent="0.25">
      <c r="A483" s="1"/>
      <c r="B483" s="1"/>
      <c r="C483" s="1"/>
      <c r="D483" s="1"/>
      <c r="E483" s="1"/>
      <c r="F483" s="1"/>
      <c r="G483" s="1"/>
      <c r="H483" s="1"/>
      <c r="I483" s="1"/>
      <c r="J483" s="1"/>
      <c r="K483" s="1"/>
      <c r="L483" s="1"/>
      <c r="M483" s="1"/>
      <c r="N483" s="1"/>
      <c r="O483" s="1"/>
      <c r="P483" s="1"/>
      <c r="Q483" s="1"/>
      <c r="R483" s="1"/>
      <c r="S483" s="1"/>
      <c r="T483" s="1"/>
      <c r="U483" s="1"/>
    </row>
    <row r="484" spans="1:21" x14ac:dyDescent="0.25">
      <c r="A484" s="1"/>
      <c r="B484" s="1"/>
      <c r="C484" s="1"/>
      <c r="D484" s="1"/>
      <c r="E484" s="1"/>
      <c r="F484" s="1"/>
      <c r="G484" s="1"/>
      <c r="H484" s="1"/>
      <c r="I484" s="1"/>
      <c r="J484" s="1"/>
      <c r="K484" s="1"/>
      <c r="L484" s="1"/>
      <c r="M484" s="1"/>
      <c r="N484" s="1"/>
      <c r="O484" s="1"/>
      <c r="P484" s="1"/>
      <c r="Q484" s="1"/>
      <c r="R484" s="1"/>
      <c r="S484" s="1"/>
      <c r="T484" s="1"/>
      <c r="U484" s="1"/>
    </row>
    <row r="485" spans="1:21" x14ac:dyDescent="0.25">
      <c r="A485" s="1"/>
      <c r="B485" s="1"/>
      <c r="C485" s="1"/>
      <c r="D485" s="1"/>
      <c r="E485" s="1"/>
      <c r="F485" s="1"/>
      <c r="G485" s="1"/>
      <c r="H485" s="1"/>
      <c r="I485" s="1"/>
      <c r="J485" s="1"/>
      <c r="K485" s="1"/>
      <c r="L485" s="1"/>
      <c r="M485" s="1"/>
      <c r="N485" s="1"/>
      <c r="O485" s="1"/>
      <c r="P485" s="1"/>
      <c r="Q485" s="1"/>
      <c r="R485" s="1"/>
      <c r="S485" s="1"/>
      <c r="T485" s="1"/>
      <c r="U485" s="1"/>
    </row>
    <row r="486" spans="1:21" x14ac:dyDescent="0.25">
      <c r="A486" s="1"/>
      <c r="B486" s="1"/>
      <c r="C486" s="1"/>
      <c r="D486" s="1"/>
      <c r="E486" s="1"/>
      <c r="F486" s="1"/>
      <c r="G486" s="1"/>
      <c r="H486" s="1"/>
      <c r="I486" s="1"/>
      <c r="J486" s="1"/>
      <c r="K486" s="1"/>
      <c r="L486" s="1"/>
      <c r="M486" s="1"/>
      <c r="N486" s="1"/>
      <c r="O486" s="1"/>
      <c r="P486" s="1"/>
      <c r="Q486" s="1"/>
      <c r="R486" s="1"/>
      <c r="S486" s="1"/>
      <c r="T486" s="1"/>
      <c r="U486" s="1"/>
    </row>
    <row r="487" spans="1:21" x14ac:dyDescent="0.25">
      <c r="A487" s="1"/>
      <c r="B487" s="1"/>
      <c r="C487" s="1"/>
      <c r="D487" s="1"/>
      <c r="E487" s="1"/>
      <c r="F487" s="1"/>
      <c r="G487" s="1"/>
      <c r="H487" s="1"/>
      <c r="I487" s="1"/>
      <c r="J487" s="1"/>
      <c r="K487" s="1"/>
      <c r="L487" s="1"/>
      <c r="M487" s="1"/>
      <c r="N487" s="1"/>
      <c r="O487" s="1"/>
      <c r="P487" s="1"/>
      <c r="Q487" s="1"/>
      <c r="R487" s="1"/>
      <c r="S487" s="1"/>
      <c r="T487" s="1"/>
      <c r="U487" s="1"/>
    </row>
    <row r="488" spans="1:21" x14ac:dyDescent="0.25">
      <c r="A488" s="1"/>
      <c r="B488" s="1"/>
      <c r="C488" s="1"/>
      <c r="D488" s="1"/>
      <c r="E488" s="1"/>
      <c r="F488" s="1"/>
      <c r="G488" s="1"/>
      <c r="H488" s="1"/>
      <c r="I488" s="1"/>
      <c r="J488" s="1"/>
      <c r="K488" s="1"/>
      <c r="L488" s="1"/>
      <c r="M488" s="1"/>
      <c r="N488" s="1"/>
      <c r="O488" s="1"/>
      <c r="P488" s="1"/>
      <c r="Q488" s="1"/>
      <c r="R488" s="1"/>
      <c r="S488" s="1"/>
      <c r="T488" s="1"/>
      <c r="U488" s="1"/>
    </row>
    <row r="489" spans="1:21" x14ac:dyDescent="0.25">
      <c r="A489" s="1"/>
      <c r="B489" s="1"/>
      <c r="C489" s="1"/>
      <c r="D489" s="1"/>
      <c r="E489" s="1"/>
      <c r="F489" s="1"/>
      <c r="G489" s="1"/>
      <c r="H489" s="1"/>
      <c r="I489" s="1"/>
      <c r="J489" s="1"/>
      <c r="K489" s="1"/>
      <c r="L489" s="1"/>
      <c r="M489" s="1"/>
      <c r="N489" s="1"/>
      <c r="O489" s="1"/>
      <c r="P489" s="1"/>
      <c r="Q489" s="1"/>
      <c r="R489" s="1"/>
      <c r="S489" s="1"/>
      <c r="T489" s="1"/>
      <c r="U489" s="1"/>
    </row>
    <row r="490" spans="1:21" x14ac:dyDescent="0.25">
      <c r="A490" s="1"/>
      <c r="B490" s="1"/>
      <c r="C490" s="1"/>
      <c r="D490" s="1"/>
      <c r="E490" s="1"/>
      <c r="F490" s="1"/>
      <c r="G490" s="1"/>
      <c r="H490" s="1"/>
      <c r="I490" s="1"/>
      <c r="J490" s="1"/>
      <c r="K490" s="1"/>
      <c r="L490" s="1"/>
      <c r="M490" s="1"/>
      <c r="N490" s="1"/>
      <c r="O490" s="1"/>
      <c r="P490" s="1"/>
      <c r="Q490" s="1"/>
      <c r="R490" s="1"/>
      <c r="S490" s="1"/>
      <c r="T490" s="1"/>
      <c r="U490" s="1"/>
    </row>
    <row r="491" spans="1:21" x14ac:dyDescent="0.25">
      <c r="A491" s="1"/>
      <c r="B491" s="1"/>
      <c r="C491" s="1"/>
      <c r="D491" s="1"/>
      <c r="E491" s="1"/>
      <c r="F491" s="1"/>
      <c r="G491" s="1"/>
      <c r="H491" s="1"/>
      <c r="I491" s="1"/>
      <c r="J491" s="1"/>
      <c r="K491" s="1"/>
      <c r="L491" s="1"/>
      <c r="M491" s="1"/>
      <c r="N491" s="1"/>
      <c r="O491" s="1"/>
      <c r="P491" s="1"/>
      <c r="Q491" s="1"/>
      <c r="R491" s="1"/>
      <c r="S491" s="1"/>
      <c r="T491" s="1"/>
      <c r="U491" s="1"/>
    </row>
    <row r="492" spans="1:21" x14ac:dyDescent="0.25">
      <c r="A492" s="1"/>
      <c r="B492" s="1"/>
      <c r="C492" s="1"/>
      <c r="D492" s="1"/>
      <c r="E492" s="1"/>
      <c r="F492" s="1"/>
      <c r="G492" s="1"/>
      <c r="H492" s="1"/>
      <c r="I492" s="1"/>
      <c r="J492" s="1"/>
      <c r="K492" s="1"/>
      <c r="L492" s="1"/>
      <c r="M492" s="1"/>
      <c r="N492" s="1"/>
      <c r="O492" s="1"/>
      <c r="P492" s="1"/>
      <c r="Q492" s="1"/>
      <c r="R492" s="1"/>
      <c r="S492" s="1"/>
      <c r="T492" s="1"/>
      <c r="U492" s="1"/>
    </row>
    <row r="493" spans="1:21" x14ac:dyDescent="0.25">
      <c r="A493" s="1"/>
      <c r="B493" s="1"/>
      <c r="C493" s="1"/>
      <c r="D493" s="1"/>
      <c r="E493" s="1"/>
      <c r="F493" s="1"/>
      <c r="G493" s="1"/>
      <c r="H493" s="1"/>
      <c r="I493" s="1"/>
      <c r="J493" s="1"/>
      <c r="K493" s="1"/>
      <c r="L493" s="1"/>
      <c r="M493" s="1"/>
      <c r="N493" s="1"/>
      <c r="O493" s="1"/>
      <c r="P493" s="1"/>
      <c r="Q493" s="1"/>
      <c r="R493" s="1"/>
      <c r="S493" s="1"/>
      <c r="T493" s="1"/>
      <c r="U493" s="1"/>
    </row>
    <row r="494" spans="1:21" x14ac:dyDescent="0.25">
      <c r="A494" s="1"/>
      <c r="B494" s="1"/>
      <c r="C494" s="1"/>
      <c r="D494" s="1"/>
      <c r="E494" s="1"/>
      <c r="F494" s="1"/>
      <c r="G494" s="1"/>
      <c r="H494" s="1"/>
      <c r="I494" s="1"/>
      <c r="J494" s="1"/>
      <c r="K494" s="1"/>
      <c r="L494" s="1"/>
      <c r="M494" s="1"/>
      <c r="N494" s="1"/>
      <c r="O494" s="1"/>
      <c r="P494" s="1"/>
      <c r="Q494" s="1"/>
      <c r="R494" s="1"/>
      <c r="S494" s="1"/>
      <c r="T494" s="1"/>
      <c r="U494" s="1"/>
    </row>
    <row r="495" spans="1:21" x14ac:dyDescent="0.25">
      <c r="A495" s="1"/>
      <c r="B495" s="1"/>
      <c r="C495" s="1"/>
      <c r="D495" s="1"/>
      <c r="E495" s="1"/>
      <c r="F495" s="1"/>
      <c r="G495" s="1"/>
      <c r="H495" s="1"/>
      <c r="I495" s="1"/>
      <c r="J495" s="1"/>
      <c r="K495" s="1"/>
      <c r="L495" s="1"/>
      <c r="M495" s="1"/>
      <c r="N495" s="1"/>
      <c r="O495" s="1"/>
      <c r="P495" s="1"/>
      <c r="Q495" s="1"/>
      <c r="R495" s="1"/>
      <c r="S495" s="1"/>
      <c r="T495" s="1"/>
      <c r="U495" s="1"/>
    </row>
    <row r="496" spans="1:21" x14ac:dyDescent="0.25">
      <c r="A496" s="1"/>
      <c r="B496" s="1"/>
      <c r="C496" s="1"/>
      <c r="D496" s="1"/>
      <c r="E496" s="1"/>
      <c r="F496" s="1"/>
      <c r="G496" s="1"/>
      <c r="H496" s="1"/>
      <c r="I496" s="1"/>
      <c r="J496" s="1"/>
      <c r="K496" s="1"/>
      <c r="L496" s="1"/>
      <c r="M496" s="1"/>
      <c r="N496" s="1"/>
      <c r="O496" s="1"/>
      <c r="P496" s="1"/>
      <c r="Q496" s="1"/>
      <c r="R496" s="1"/>
      <c r="S496" s="1"/>
      <c r="T496" s="1"/>
      <c r="U496" s="1"/>
    </row>
    <row r="497" spans="1:21" x14ac:dyDescent="0.25">
      <c r="A497" s="1"/>
      <c r="B497" s="1"/>
      <c r="C497" s="1"/>
      <c r="D497" s="1"/>
      <c r="E497" s="1"/>
      <c r="F497" s="1"/>
      <c r="G497" s="1"/>
      <c r="H497" s="1"/>
      <c r="I497" s="1"/>
      <c r="J497" s="1"/>
      <c r="K497" s="1"/>
      <c r="L497" s="1"/>
      <c r="M497" s="1"/>
      <c r="N497" s="1"/>
      <c r="O497" s="1"/>
      <c r="P497" s="1"/>
      <c r="Q497" s="1"/>
      <c r="R497" s="1"/>
      <c r="S497" s="1"/>
      <c r="T497" s="1"/>
      <c r="U497" s="1"/>
    </row>
    <row r="498" spans="1:21" x14ac:dyDescent="0.25">
      <c r="A498" s="1"/>
      <c r="B498" s="1"/>
      <c r="C498" s="1"/>
      <c r="D498" s="1"/>
      <c r="E498" s="1"/>
      <c r="F498" s="1"/>
      <c r="G498" s="1"/>
      <c r="H498" s="1"/>
      <c r="I498" s="1"/>
      <c r="J498" s="1"/>
      <c r="K498" s="1"/>
      <c r="L498" s="1"/>
      <c r="M498" s="1"/>
      <c r="N498" s="1"/>
      <c r="O498" s="1"/>
      <c r="P498" s="1"/>
      <c r="Q498" s="1"/>
      <c r="R498" s="1"/>
      <c r="S498" s="1"/>
      <c r="T498" s="1"/>
      <c r="U498" s="1"/>
    </row>
    <row r="499" spans="1:21" x14ac:dyDescent="0.25">
      <c r="A499" s="1"/>
      <c r="B499" s="1"/>
      <c r="C499" s="1"/>
      <c r="D499" s="1"/>
      <c r="E499" s="1"/>
      <c r="F499" s="1"/>
      <c r="G499" s="1"/>
      <c r="H499" s="1"/>
      <c r="I499" s="1"/>
      <c r="J499" s="1"/>
      <c r="K499" s="1"/>
      <c r="L499" s="1"/>
      <c r="M499" s="1"/>
      <c r="N499" s="1"/>
      <c r="O499" s="1"/>
      <c r="P499" s="1"/>
      <c r="Q499" s="1"/>
      <c r="R499" s="1"/>
      <c r="S499" s="1"/>
      <c r="T499" s="1"/>
      <c r="U499" s="1"/>
    </row>
    <row r="500" spans="1:21" x14ac:dyDescent="0.25">
      <c r="A500" s="1"/>
      <c r="B500" s="1"/>
      <c r="C500" s="1"/>
      <c r="D500" s="1"/>
      <c r="E500" s="1"/>
      <c r="F500" s="1"/>
      <c r="G500" s="1"/>
      <c r="H500" s="1"/>
      <c r="I500" s="1"/>
      <c r="J500" s="1"/>
      <c r="K500" s="1"/>
      <c r="L500" s="1"/>
      <c r="M500" s="1"/>
      <c r="N500" s="1"/>
      <c r="O500" s="1"/>
      <c r="P500" s="1"/>
      <c r="Q500" s="1"/>
      <c r="R500" s="1"/>
      <c r="S500" s="1"/>
      <c r="T500" s="1"/>
      <c r="U500" s="1"/>
    </row>
    <row r="501" spans="1:21" x14ac:dyDescent="0.25">
      <c r="A501" s="1"/>
      <c r="B501" s="1"/>
      <c r="C501" s="1"/>
      <c r="D501" s="1"/>
      <c r="E501" s="1"/>
      <c r="F501" s="1"/>
      <c r="G501" s="1"/>
      <c r="H501" s="1"/>
      <c r="I501" s="1"/>
      <c r="J501" s="1"/>
      <c r="K501" s="1"/>
      <c r="L501" s="1"/>
      <c r="M501" s="1"/>
      <c r="N501" s="1"/>
      <c r="O501" s="1"/>
      <c r="P501" s="1"/>
      <c r="Q501" s="1"/>
      <c r="R501" s="1"/>
      <c r="S501" s="1"/>
      <c r="T501" s="1"/>
      <c r="U501" s="1"/>
    </row>
    <row r="502" spans="1:21" x14ac:dyDescent="0.25">
      <c r="A502" s="1"/>
      <c r="B502" s="1"/>
      <c r="C502" s="1"/>
      <c r="D502" s="1"/>
      <c r="E502" s="1"/>
      <c r="F502" s="1"/>
      <c r="G502" s="1"/>
      <c r="H502" s="1"/>
      <c r="I502" s="1"/>
      <c r="J502" s="1"/>
      <c r="K502" s="1"/>
      <c r="L502" s="1"/>
      <c r="M502" s="1"/>
      <c r="N502" s="1"/>
      <c r="O502" s="1"/>
      <c r="P502" s="1"/>
      <c r="Q502" s="1"/>
      <c r="R502" s="1"/>
      <c r="S502" s="1"/>
      <c r="T502" s="1"/>
      <c r="U502" s="1"/>
    </row>
    <row r="503" spans="1:21" x14ac:dyDescent="0.25">
      <c r="A503" s="1"/>
      <c r="B503" s="1"/>
      <c r="C503" s="1"/>
      <c r="D503" s="1"/>
      <c r="E503" s="1"/>
      <c r="F503" s="1"/>
      <c r="G503" s="1"/>
      <c r="H503" s="1"/>
      <c r="I503" s="1"/>
      <c r="J503" s="1"/>
      <c r="K503" s="1"/>
      <c r="L503" s="1"/>
      <c r="M503" s="1"/>
      <c r="N503" s="1"/>
      <c r="O503" s="1"/>
      <c r="P503" s="1"/>
      <c r="Q503" s="1"/>
      <c r="R503" s="1"/>
      <c r="S503" s="1"/>
      <c r="T503" s="1"/>
      <c r="U503" s="1"/>
    </row>
    <row r="504" spans="1:21" x14ac:dyDescent="0.25">
      <c r="A504" s="1"/>
      <c r="B504" s="1"/>
      <c r="C504" s="1"/>
      <c r="D504" s="1"/>
      <c r="E504" s="1"/>
      <c r="F504" s="1"/>
      <c r="G504" s="1"/>
      <c r="H504" s="1"/>
      <c r="I504" s="1"/>
      <c r="J504" s="1"/>
      <c r="K504" s="1"/>
      <c r="L504" s="1"/>
      <c r="M504" s="1"/>
      <c r="N504" s="1"/>
      <c r="O504" s="1"/>
      <c r="P504" s="1"/>
      <c r="Q504" s="1"/>
      <c r="R504" s="1"/>
      <c r="S504" s="1"/>
      <c r="T504" s="1"/>
      <c r="U504" s="1"/>
    </row>
    <row r="505" spans="1:21" x14ac:dyDescent="0.25">
      <c r="A505" s="1"/>
      <c r="B505" s="1"/>
      <c r="C505" s="1"/>
      <c r="D505" s="1"/>
      <c r="E505" s="1"/>
      <c r="F505" s="1"/>
      <c r="G505" s="1"/>
      <c r="H505" s="1"/>
      <c r="I505" s="1"/>
      <c r="J505" s="1"/>
      <c r="K505" s="1"/>
      <c r="L505" s="1"/>
      <c r="M505" s="1"/>
      <c r="N505" s="1"/>
      <c r="O505" s="1"/>
      <c r="P505" s="1"/>
      <c r="Q505" s="1"/>
      <c r="R505" s="1"/>
      <c r="S505" s="1"/>
      <c r="T505" s="1"/>
      <c r="U505" s="1"/>
    </row>
    <row r="506" spans="1:21" x14ac:dyDescent="0.25">
      <c r="A506" s="1"/>
      <c r="B506" s="1"/>
      <c r="C506" s="1"/>
      <c r="D506" s="1"/>
      <c r="E506" s="1"/>
      <c r="F506" s="1"/>
      <c r="G506" s="1"/>
      <c r="H506" s="1"/>
      <c r="I506" s="1"/>
      <c r="J506" s="1"/>
      <c r="K506" s="1"/>
      <c r="L506" s="1"/>
      <c r="M506" s="1"/>
      <c r="N506" s="1"/>
      <c r="O506" s="1"/>
      <c r="P506" s="1"/>
      <c r="Q506" s="1"/>
      <c r="R506" s="1"/>
      <c r="S506" s="1"/>
      <c r="T506" s="1"/>
      <c r="U506" s="1"/>
    </row>
    <row r="507" spans="1:21" x14ac:dyDescent="0.25">
      <c r="A507" s="1"/>
      <c r="B507" s="1"/>
      <c r="C507" s="1"/>
      <c r="D507" s="1"/>
      <c r="E507" s="1"/>
      <c r="F507" s="1"/>
      <c r="G507" s="1"/>
      <c r="H507" s="1"/>
      <c r="I507" s="1"/>
      <c r="J507" s="1"/>
      <c r="K507" s="1"/>
      <c r="L507" s="1"/>
      <c r="M507" s="1"/>
      <c r="N507" s="1"/>
      <c r="O507" s="1"/>
      <c r="P507" s="1"/>
      <c r="Q507" s="1"/>
      <c r="R507" s="1"/>
      <c r="S507" s="1"/>
      <c r="T507" s="1"/>
      <c r="U507" s="1"/>
    </row>
    <row r="508" spans="1:21" x14ac:dyDescent="0.25">
      <c r="A508" s="1"/>
      <c r="B508" s="1"/>
      <c r="C508" s="1"/>
      <c r="D508" s="1"/>
      <c r="E508" s="1"/>
      <c r="F508" s="1"/>
      <c r="G508" s="1"/>
      <c r="H508" s="1"/>
      <c r="I508" s="1"/>
      <c r="J508" s="1"/>
      <c r="K508" s="1"/>
      <c r="L508" s="1"/>
      <c r="M508" s="1"/>
      <c r="N508" s="1"/>
      <c r="O508" s="1"/>
      <c r="P508" s="1"/>
      <c r="Q508" s="1"/>
      <c r="R508" s="1"/>
      <c r="S508" s="1"/>
      <c r="T508" s="1"/>
      <c r="U508" s="1"/>
    </row>
    <row r="509" spans="1:21" x14ac:dyDescent="0.25">
      <c r="A509" s="1"/>
      <c r="B509" s="1"/>
      <c r="C509" s="1"/>
      <c r="D509" s="1"/>
      <c r="E509" s="1"/>
      <c r="F509" s="1"/>
      <c r="G509" s="1"/>
      <c r="H509" s="1"/>
      <c r="I509" s="1"/>
      <c r="J509" s="1"/>
      <c r="K509" s="1"/>
      <c r="L509" s="1"/>
      <c r="M509" s="1"/>
      <c r="N509" s="1"/>
      <c r="O509" s="1"/>
      <c r="P509" s="1"/>
      <c r="Q509" s="1"/>
      <c r="R509" s="1"/>
      <c r="S509" s="1"/>
      <c r="T509" s="1"/>
      <c r="U509" s="1"/>
    </row>
    <row r="510" spans="1:21" x14ac:dyDescent="0.25">
      <c r="A510" s="1"/>
      <c r="B510" s="1"/>
      <c r="C510" s="1"/>
      <c r="D510" s="1"/>
      <c r="E510" s="1"/>
      <c r="F510" s="1"/>
      <c r="G510" s="1"/>
      <c r="H510" s="1"/>
      <c r="I510" s="1"/>
      <c r="J510" s="1"/>
      <c r="K510" s="1"/>
      <c r="L510" s="1"/>
      <c r="M510" s="1"/>
      <c r="N510" s="1"/>
      <c r="O510" s="1"/>
      <c r="P510" s="1"/>
      <c r="Q510" s="1"/>
      <c r="R510" s="1"/>
      <c r="S510" s="1"/>
      <c r="T510" s="1"/>
      <c r="U510" s="1"/>
    </row>
    <row r="511" spans="1:21" x14ac:dyDescent="0.25">
      <c r="A511" s="1"/>
      <c r="B511" s="1"/>
      <c r="C511" s="1"/>
      <c r="D511" s="1"/>
      <c r="E511" s="1"/>
      <c r="F511" s="1"/>
      <c r="G511" s="1"/>
      <c r="H511" s="1"/>
      <c r="I511" s="1"/>
      <c r="J511" s="1"/>
      <c r="K511" s="1"/>
      <c r="L511" s="1"/>
      <c r="M511" s="1"/>
      <c r="N511" s="1"/>
      <c r="O511" s="1"/>
      <c r="P511" s="1"/>
      <c r="Q511" s="1"/>
      <c r="R511" s="1"/>
      <c r="S511" s="1"/>
      <c r="T511" s="1"/>
      <c r="U511" s="1"/>
    </row>
    <row r="512" spans="1:21"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C4" sqref="C4"/>
    </sheetView>
  </sheetViews>
  <sheetFormatPr defaultRowHeight="15" x14ac:dyDescent="0.25"/>
  <cols>
    <col min="1" max="1" width="14.7109375" customWidth="1"/>
  </cols>
  <sheetData>
    <row r="2" spans="1:5" x14ac:dyDescent="0.25">
      <c r="A2" s="1" t="s">
        <v>28</v>
      </c>
      <c r="B2" s="1" t="s">
        <v>655</v>
      </c>
      <c r="E2" s="1"/>
    </row>
    <row r="3" spans="1:5" x14ac:dyDescent="0.25">
      <c r="A3" t="s">
        <v>3</v>
      </c>
      <c r="B3" t="s">
        <v>21</v>
      </c>
      <c r="E3" s="1"/>
    </row>
    <row r="4" spans="1:5" x14ac:dyDescent="0.25">
      <c r="A4" s="1"/>
      <c r="B4" s="1"/>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election activeCell="A2" sqref="A2"/>
    </sheetView>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t="e">
        <f>Inputs!#REF!</f>
        <v>#REF!</v>
      </c>
      <c r="D43">
        <v>1</v>
      </c>
      <c r="E43" t="s">
        <v>32</v>
      </c>
      <c r="G43" t="s">
        <v>33</v>
      </c>
      <c r="H43" s="30" t="s">
        <v>56</v>
      </c>
      <c r="I43" t="str">
        <f>CONCATENATE("=",E43,F43,G43,H43)</f>
        <v>=Inputs!M$2</v>
      </c>
    </row>
    <row r="44" spans="1:9" x14ac:dyDescent="0.25">
      <c r="A44" s="3">
        <f>Inputs!AG$2</f>
        <v>0</v>
      </c>
      <c r="D44">
        <v>2</v>
      </c>
      <c r="E44" t="s">
        <v>32</v>
      </c>
      <c r="G44" t="s">
        <v>34</v>
      </c>
      <c r="H44" s="30" t="s">
        <v>56</v>
      </c>
      <c r="I44" t="str">
        <f t="shared" ref="I44:I92" si="0">CONCATENATE("=",E44,F44,G44,H44)</f>
        <v>=Inputs!N$2</v>
      </c>
    </row>
    <row r="45" spans="1:9" x14ac:dyDescent="0.25">
      <c r="A45" s="3">
        <f>Inputs!AH$2</f>
        <v>0</v>
      </c>
      <c r="D45">
        <v>3</v>
      </c>
      <c r="E45" t="s">
        <v>32</v>
      </c>
      <c r="G45" t="s">
        <v>35</v>
      </c>
      <c r="H45" s="30" t="s">
        <v>56</v>
      </c>
      <c r="I45" t="str">
        <f t="shared" si="0"/>
        <v>=Inputs!O$2</v>
      </c>
    </row>
    <row r="46" spans="1:9" x14ac:dyDescent="0.25">
      <c r="A46" s="3">
        <f>Inputs!AI$2</f>
        <v>0</v>
      </c>
      <c r="D46">
        <v>4</v>
      </c>
      <c r="E46" t="s">
        <v>32</v>
      </c>
      <c r="G46" t="s">
        <v>36</v>
      </c>
      <c r="H46" s="30" t="s">
        <v>56</v>
      </c>
      <c r="I46" t="str">
        <f t="shared" si="0"/>
        <v>=Inputs!P$2</v>
      </c>
    </row>
    <row r="47" spans="1:9" x14ac:dyDescent="0.25">
      <c r="A47" s="3">
        <f>Inputs!AJ$2</f>
        <v>0</v>
      </c>
      <c r="D47">
        <v>5</v>
      </c>
      <c r="E47" t="s">
        <v>32</v>
      </c>
      <c r="G47" t="s">
        <v>37</v>
      </c>
      <c r="H47" s="30" t="s">
        <v>56</v>
      </c>
      <c r="I47" t="str">
        <f t="shared" si="0"/>
        <v>=Inputs!Q$2</v>
      </c>
    </row>
    <row r="48" spans="1:9" x14ac:dyDescent="0.25">
      <c r="A48" s="3">
        <f>Inputs!AK$2</f>
        <v>0</v>
      </c>
      <c r="D48">
        <v>6</v>
      </c>
      <c r="E48" t="s">
        <v>32</v>
      </c>
      <c r="G48" t="s">
        <v>38</v>
      </c>
      <c r="H48" s="30" t="s">
        <v>56</v>
      </c>
      <c r="I48" t="str">
        <f t="shared" si="0"/>
        <v>=Inputs!R$2</v>
      </c>
    </row>
    <row r="49" spans="1:9" x14ac:dyDescent="0.25">
      <c r="A49" s="3">
        <f>Inputs!AL$2</f>
        <v>0</v>
      </c>
      <c r="D49">
        <v>7</v>
      </c>
      <c r="E49" t="s">
        <v>32</v>
      </c>
      <c r="G49" t="s">
        <v>39</v>
      </c>
      <c r="H49" s="30" t="s">
        <v>56</v>
      </c>
      <c r="I49" t="str">
        <f t="shared" si="0"/>
        <v>=Inputs!S$2</v>
      </c>
    </row>
    <row r="50" spans="1:9" x14ac:dyDescent="0.25">
      <c r="A50" s="3">
        <f>Inputs!AM$2</f>
        <v>0</v>
      </c>
      <c r="D50">
        <v>8</v>
      </c>
      <c r="E50" t="s">
        <v>32</v>
      </c>
      <c r="G50" t="s">
        <v>40</v>
      </c>
      <c r="H50" s="30" t="s">
        <v>56</v>
      </c>
      <c r="I50" t="str">
        <f t="shared" si="0"/>
        <v>=Inputs!T$2</v>
      </c>
    </row>
    <row r="51" spans="1:9" x14ac:dyDescent="0.25">
      <c r="A51" s="3">
        <f>Inputs!AN$2</f>
        <v>0</v>
      </c>
      <c r="D51">
        <v>9</v>
      </c>
      <c r="E51" t="s">
        <v>32</v>
      </c>
      <c r="G51" t="s">
        <v>41</v>
      </c>
      <c r="H51" s="30" t="s">
        <v>56</v>
      </c>
      <c r="I51" t="str">
        <f t="shared" si="0"/>
        <v>=Inputs!U$2</v>
      </c>
    </row>
    <row r="52" spans="1:9" x14ac:dyDescent="0.25">
      <c r="A52" s="3">
        <f>Inputs!AO$2</f>
        <v>0</v>
      </c>
      <c r="D52">
        <v>10</v>
      </c>
      <c r="E52" t="s">
        <v>32</v>
      </c>
      <c r="G52" t="s">
        <v>2</v>
      </c>
      <c r="H52" s="30" t="s">
        <v>56</v>
      </c>
      <c r="I52" t="str">
        <f t="shared" si="0"/>
        <v>=Inputs!V$2</v>
      </c>
    </row>
    <row r="53" spans="1:9" x14ac:dyDescent="0.25">
      <c r="A53" s="3">
        <f>Inputs!AP$2</f>
        <v>0</v>
      </c>
      <c r="D53">
        <v>11</v>
      </c>
      <c r="E53" t="s">
        <v>32</v>
      </c>
      <c r="G53" t="s">
        <v>42</v>
      </c>
      <c r="H53" s="30" t="s">
        <v>56</v>
      </c>
      <c r="I53" t="str">
        <f t="shared" si="0"/>
        <v>=Inputs!W$2</v>
      </c>
    </row>
    <row r="54" spans="1:9" x14ac:dyDescent="0.25">
      <c r="A54" s="3">
        <f>Inputs!AQ$2</f>
        <v>0</v>
      </c>
      <c r="D54">
        <v>12</v>
      </c>
      <c r="E54" t="s">
        <v>32</v>
      </c>
      <c r="G54" t="s">
        <v>43</v>
      </c>
      <c r="H54" s="30" t="s">
        <v>56</v>
      </c>
      <c r="I54" t="str">
        <f t="shared" si="0"/>
        <v>=Inputs!X$2</v>
      </c>
    </row>
    <row r="55" spans="1:9" x14ac:dyDescent="0.25">
      <c r="A55" s="3">
        <f>Inputs!AR$2</f>
        <v>0</v>
      </c>
      <c r="D55">
        <v>13</v>
      </c>
      <c r="E55" t="s">
        <v>32</v>
      </c>
      <c r="G55" t="s">
        <v>44</v>
      </c>
      <c r="H55" s="30" t="s">
        <v>56</v>
      </c>
      <c r="I55" t="str">
        <f t="shared" si="0"/>
        <v>=Inputs!Y$2</v>
      </c>
    </row>
    <row r="56" spans="1:9" x14ac:dyDescent="0.25">
      <c r="A56" s="3">
        <f>Inputs!AS$2</f>
        <v>0</v>
      </c>
      <c r="D56">
        <v>14</v>
      </c>
      <c r="E56" t="s">
        <v>32</v>
      </c>
      <c r="G56" t="s">
        <v>45</v>
      </c>
      <c r="H56" s="30" t="s">
        <v>56</v>
      </c>
      <c r="I56" t="str">
        <f t="shared" si="0"/>
        <v>=Inputs!Z$2</v>
      </c>
    </row>
    <row r="57" spans="1:9" x14ac:dyDescent="0.25">
      <c r="A57" s="3">
        <f>Inputs!AT$2</f>
        <v>0</v>
      </c>
      <c r="D57">
        <v>15</v>
      </c>
      <c r="E57" t="s">
        <v>32</v>
      </c>
      <c r="F57" t="s">
        <v>46</v>
      </c>
      <c r="G57" t="s">
        <v>46</v>
      </c>
      <c r="H57" s="30" t="s">
        <v>56</v>
      </c>
      <c r="I57" t="str">
        <f t="shared" si="0"/>
        <v>=Inputs!AA$2</v>
      </c>
    </row>
    <row r="58" spans="1:9" x14ac:dyDescent="0.25">
      <c r="A58" s="3">
        <f>Inputs!AU$2</f>
        <v>0</v>
      </c>
      <c r="D58">
        <v>16</v>
      </c>
      <c r="E58" t="s">
        <v>32</v>
      </c>
      <c r="F58" t="s">
        <v>46</v>
      </c>
      <c r="G58" t="s">
        <v>30</v>
      </c>
      <c r="H58" s="30" t="s">
        <v>56</v>
      </c>
      <c r="I58" t="str">
        <f t="shared" si="0"/>
        <v>=Inputs!AB$2</v>
      </c>
    </row>
    <row r="59" spans="1:9" x14ac:dyDescent="0.25">
      <c r="A59" s="3">
        <f>Inputs!AV$2</f>
        <v>0</v>
      </c>
      <c r="D59">
        <v>17</v>
      </c>
      <c r="E59" t="s">
        <v>32</v>
      </c>
      <c r="F59" t="s">
        <v>46</v>
      </c>
      <c r="G59" t="s">
        <v>47</v>
      </c>
      <c r="H59" s="30" t="s">
        <v>56</v>
      </c>
      <c r="I59" t="str">
        <f t="shared" si="0"/>
        <v>=Inputs!AC$2</v>
      </c>
    </row>
    <row r="60" spans="1:9" x14ac:dyDescent="0.25">
      <c r="A60" s="3">
        <f>Inputs!AW$2</f>
        <v>0</v>
      </c>
      <c r="D60">
        <v>18</v>
      </c>
      <c r="E60" t="s">
        <v>32</v>
      </c>
      <c r="F60" t="s">
        <v>46</v>
      </c>
      <c r="G60" t="s">
        <v>29</v>
      </c>
      <c r="H60" s="30" t="s">
        <v>56</v>
      </c>
      <c r="I60" t="str">
        <f t="shared" si="0"/>
        <v>=Inputs!AD$2</v>
      </c>
    </row>
    <row r="61" spans="1:9" x14ac:dyDescent="0.25">
      <c r="A61" s="3">
        <f>Inputs!AX$2</f>
        <v>0</v>
      </c>
      <c r="D61">
        <v>19</v>
      </c>
      <c r="E61" t="s">
        <v>32</v>
      </c>
      <c r="F61" t="s">
        <v>46</v>
      </c>
      <c r="G61" t="s">
        <v>48</v>
      </c>
      <c r="H61" s="30" t="s">
        <v>56</v>
      </c>
      <c r="I61" t="str">
        <f t="shared" si="0"/>
        <v>=Inputs!AE$2</v>
      </c>
    </row>
    <row r="62" spans="1:9" x14ac:dyDescent="0.25">
      <c r="A62" s="3">
        <f>Inputs!AY$2</f>
        <v>0</v>
      </c>
      <c r="D62">
        <v>20</v>
      </c>
      <c r="E62" t="s">
        <v>32</v>
      </c>
      <c r="F62" t="s">
        <v>46</v>
      </c>
      <c r="G62" t="s">
        <v>49</v>
      </c>
      <c r="H62" s="30" t="s">
        <v>56</v>
      </c>
      <c r="I62" t="str">
        <f t="shared" si="0"/>
        <v>=Inputs!AF$2</v>
      </c>
    </row>
    <row r="63" spans="1:9" x14ac:dyDescent="0.25">
      <c r="A63" s="3">
        <f>Inputs!AZ$2</f>
        <v>0</v>
      </c>
      <c r="D63">
        <v>21</v>
      </c>
      <c r="E63" t="s">
        <v>32</v>
      </c>
      <c r="F63" t="s">
        <v>46</v>
      </c>
      <c r="G63" t="s">
        <v>50</v>
      </c>
      <c r="H63" s="30" t="s">
        <v>56</v>
      </c>
      <c r="I63" t="str">
        <f t="shared" si="0"/>
        <v>=Inputs!AG$2</v>
      </c>
    </row>
    <row r="64" spans="1:9" x14ac:dyDescent="0.25">
      <c r="A64" s="3">
        <f>Inputs!BA$2</f>
        <v>0</v>
      </c>
      <c r="D64">
        <v>22</v>
      </c>
      <c r="E64" t="s">
        <v>32</v>
      </c>
      <c r="F64" t="s">
        <v>46</v>
      </c>
      <c r="G64" t="s">
        <v>51</v>
      </c>
      <c r="H64" s="30" t="s">
        <v>56</v>
      </c>
      <c r="I64" t="str">
        <f t="shared" si="0"/>
        <v>=Inputs!AH$2</v>
      </c>
    </row>
    <row r="65" spans="1:9" x14ac:dyDescent="0.25">
      <c r="A65" s="3">
        <f>Inputs!BB$2</f>
        <v>0</v>
      </c>
      <c r="D65">
        <v>23</v>
      </c>
      <c r="E65" t="s">
        <v>32</v>
      </c>
      <c r="F65" t="s">
        <v>46</v>
      </c>
      <c r="G65" t="s">
        <v>52</v>
      </c>
      <c r="H65" s="30" t="s">
        <v>56</v>
      </c>
      <c r="I65" t="str">
        <f t="shared" si="0"/>
        <v>=Inputs!AI$2</v>
      </c>
    </row>
    <row r="66" spans="1:9" x14ac:dyDescent="0.25">
      <c r="A66" s="3">
        <f>Inputs!C17</f>
        <v>1</v>
      </c>
      <c r="D66">
        <v>24</v>
      </c>
      <c r="E66" t="s">
        <v>32</v>
      </c>
      <c r="F66" t="s">
        <v>46</v>
      </c>
      <c r="G66" t="s">
        <v>53</v>
      </c>
      <c r="H66" s="30" t="s">
        <v>56</v>
      </c>
      <c r="I66" t="str">
        <f t="shared" si="0"/>
        <v>=Inputs!AJ$2</v>
      </c>
    </row>
    <row r="67" spans="1:9" x14ac:dyDescent="0.25">
      <c r="A67" s="3">
        <f>Inputs!C20</f>
        <v>0</v>
      </c>
      <c r="D67">
        <v>25</v>
      </c>
      <c r="E67" t="s">
        <v>32</v>
      </c>
      <c r="F67" t="s">
        <v>46</v>
      </c>
      <c r="G67" t="s">
        <v>54</v>
      </c>
      <c r="H67" s="30" t="s">
        <v>56</v>
      </c>
      <c r="I67" t="str">
        <f t="shared" si="0"/>
        <v>=Inputs!AK$2</v>
      </c>
    </row>
    <row r="68" spans="1:9" x14ac:dyDescent="0.25">
      <c r="A68" s="3">
        <f>Inputs!C19</f>
        <v>8</v>
      </c>
      <c r="D68">
        <v>26</v>
      </c>
      <c r="E68" t="s">
        <v>32</v>
      </c>
      <c r="F68" t="s">
        <v>46</v>
      </c>
      <c r="G68" t="s">
        <v>55</v>
      </c>
      <c r="H68" s="30" t="s">
        <v>56</v>
      </c>
      <c r="I68" t="str">
        <f t="shared" si="0"/>
        <v>=Inputs!AL$2</v>
      </c>
    </row>
    <row r="69" spans="1:9" x14ac:dyDescent="0.25">
      <c r="A69" s="3">
        <f>Inputs!C3</f>
        <v>2</v>
      </c>
      <c r="D69">
        <v>27</v>
      </c>
      <c r="E69" t="s">
        <v>32</v>
      </c>
      <c r="F69" t="s">
        <v>46</v>
      </c>
      <c r="G69" t="s">
        <v>33</v>
      </c>
      <c r="H69" s="30" t="s">
        <v>56</v>
      </c>
      <c r="I69" t="str">
        <f t="shared" si="0"/>
        <v>=Inputs!AM$2</v>
      </c>
    </row>
    <row r="70" spans="1:9" x14ac:dyDescent="0.25">
      <c r="A70" s="3">
        <f>Inputs!M$2</f>
        <v>3</v>
      </c>
      <c r="D70">
        <v>28</v>
      </c>
      <c r="E70" t="s">
        <v>32</v>
      </c>
      <c r="F70" t="s">
        <v>46</v>
      </c>
      <c r="G70" t="s">
        <v>34</v>
      </c>
      <c r="H70" s="30" t="s">
        <v>56</v>
      </c>
      <c r="I70" t="str">
        <f t="shared" si="0"/>
        <v>=Inputs!AN$2</v>
      </c>
    </row>
    <row r="71" spans="1:9" x14ac:dyDescent="0.25">
      <c r="A71" s="3" t="e">
        <f>Inputs!#REF!</f>
        <v>#REF!</v>
      </c>
      <c r="D71">
        <v>29</v>
      </c>
      <c r="E71" t="s">
        <v>32</v>
      </c>
      <c r="F71" t="s">
        <v>46</v>
      </c>
      <c r="G71" t="s">
        <v>35</v>
      </c>
      <c r="H71" s="30" t="s">
        <v>56</v>
      </c>
      <c r="I71" t="str">
        <f t="shared" si="0"/>
        <v>=Inputs!AO$2</v>
      </c>
    </row>
    <row r="72" spans="1:9" x14ac:dyDescent="0.25">
      <c r="A72" s="3" t="e">
        <f>Inputs!#REF!</f>
        <v>#REF!</v>
      </c>
      <c r="D72">
        <v>30</v>
      </c>
      <c r="E72" t="s">
        <v>32</v>
      </c>
      <c r="F72" t="s">
        <v>46</v>
      </c>
      <c r="G72" t="s">
        <v>36</v>
      </c>
      <c r="H72" s="30" t="s">
        <v>56</v>
      </c>
      <c r="I72" t="str">
        <f t="shared" si="0"/>
        <v>=Inputs!AP$2</v>
      </c>
    </row>
    <row r="73" spans="1:9" x14ac:dyDescent="0.25">
      <c r="A73" s="3" t="e">
        <f>Inputs!#REF!</f>
        <v>#REF!</v>
      </c>
      <c r="D73">
        <v>31</v>
      </c>
      <c r="E73" t="s">
        <v>32</v>
      </c>
      <c r="F73" t="s">
        <v>46</v>
      </c>
      <c r="G73" t="s">
        <v>37</v>
      </c>
      <c r="H73" s="30" t="s">
        <v>56</v>
      </c>
      <c r="I73" t="str">
        <f t="shared" si="0"/>
        <v>=Inputs!AQ$2</v>
      </c>
    </row>
    <row r="74" spans="1:9" x14ac:dyDescent="0.25">
      <c r="A74" s="3">
        <f>Inputs!C4</f>
        <v>6</v>
      </c>
      <c r="D74">
        <v>32</v>
      </c>
      <c r="E74" t="s">
        <v>32</v>
      </c>
      <c r="F74" t="s">
        <v>46</v>
      </c>
      <c r="G74" t="s">
        <v>38</v>
      </c>
      <c r="H74" s="30" t="s">
        <v>56</v>
      </c>
      <c r="I74" t="str">
        <f t="shared" si="0"/>
        <v>=Inputs!AR$2</v>
      </c>
    </row>
    <row r="75" spans="1:9" x14ac:dyDescent="0.25">
      <c r="A75" s="3">
        <f>Inputs!C5</f>
        <v>0</v>
      </c>
      <c r="D75">
        <v>33</v>
      </c>
      <c r="E75" t="s">
        <v>32</v>
      </c>
      <c r="F75" t="s">
        <v>46</v>
      </c>
      <c r="G75" t="s">
        <v>39</v>
      </c>
      <c r="H75" s="30" t="s">
        <v>56</v>
      </c>
      <c r="I75" t="str">
        <f t="shared" si="0"/>
        <v>=Inputs!AS$2</v>
      </c>
    </row>
    <row r="76" spans="1:9" x14ac:dyDescent="0.25">
      <c r="A76" s="3" t="e">
        <f>Inputs!#REF!</f>
        <v>#REF!</v>
      </c>
      <c r="D76">
        <v>34</v>
      </c>
      <c r="E76" t="s">
        <v>32</v>
      </c>
      <c r="F76" t="s">
        <v>46</v>
      </c>
      <c r="G76" t="s">
        <v>40</v>
      </c>
      <c r="H76" s="30" t="s">
        <v>56</v>
      </c>
      <c r="I76" t="str">
        <f t="shared" si="0"/>
        <v>=Inputs!AT$2</v>
      </c>
    </row>
    <row r="77" spans="1:9" x14ac:dyDescent="0.25">
      <c r="A77" s="3">
        <f>Inputs!C21</f>
        <v>0</v>
      </c>
      <c r="D77">
        <v>35</v>
      </c>
      <c r="E77" t="s">
        <v>32</v>
      </c>
      <c r="F77" t="s">
        <v>46</v>
      </c>
      <c r="G77" t="s">
        <v>41</v>
      </c>
      <c r="H77" s="30" t="s">
        <v>56</v>
      </c>
      <c r="I77" t="str">
        <f t="shared" si="0"/>
        <v>=Inputs!AU$2</v>
      </c>
    </row>
    <row r="78" spans="1:9" x14ac:dyDescent="0.25">
      <c r="A78" s="3">
        <f>Inputs!C22</f>
        <v>0</v>
      </c>
      <c r="D78">
        <v>36</v>
      </c>
      <c r="E78" t="s">
        <v>32</v>
      </c>
      <c r="F78" t="s">
        <v>46</v>
      </c>
      <c r="G78" t="s">
        <v>2</v>
      </c>
      <c r="H78" s="30" t="s">
        <v>56</v>
      </c>
      <c r="I78" t="str">
        <f t="shared" si="0"/>
        <v>=Inputs!AV$2</v>
      </c>
    </row>
    <row r="79" spans="1:9" x14ac:dyDescent="0.25">
      <c r="A79" s="3">
        <f>Inputs!C23</f>
        <v>0</v>
      </c>
      <c r="D79">
        <v>37</v>
      </c>
      <c r="E79" t="s">
        <v>32</v>
      </c>
      <c r="F79" t="s">
        <v>46</v>
      </c>
      <c r="G79" t="s">
        <v>42</v>
      </c>
      <c r="H79" s="30" t="s">
        <v>56</v>
      </c>
      <c r="I79" t="str">
        <f t="shared" si="0"/>
        <v>=Inputs!AW$2</v>
      </c>
    </row>
    <row r="80" spans="1:9" x14ac:dyDescent="0.25">
      <c r="A80" s="3">
        <f>Inputs!C24</f>
        <v>0</v>
      </c>
      <c r="D80">
        <v>38</v>
      </c>
      <c r="E80" t="s">
        <v>32</v>
      </c>
      <c r="F80" t="s">
        <v>46</v>
      </c>
      <c r="G80" t="s">
        <v>43</v>
      </c>
      <c r="H80" s="30" t="s">
        <v>56</v>
      </c>
      <c r="I80" t="str">
        <f t="shared" si="0"/>
        <v>=Inputs!AX$2</v>
      </c>
    </row>
    <row r="81" spans="1:9" x14ac:dyDescent="0.25">
      <c r="A81" s="3" t="e">
        <f>Inputs!#REF!</f>
        <v>#REF!</v>
      </c>
      <c r="D81">
        <v>39</v>
      </c>
      <c r="E81" t="s">
        <v>32</v>
      </c>
      <c r="F81" t="s">
        <v>46</v>
      </c>
      <c r="G81" t="s">
        <v>44</v>
      </c>
      <c r="H81" s="30" t="s">
        <v>56</v>
      </c>
      <c r="I81" t="str">
        <f t="shared" si="0"/>
        <v>=Inputs!AY$2</v>
      </c>
    </row>
    <row r="82" spans="1:9" x14ac:dyDescent="0.25">
      <c r="A82" s="3" t="e">
        <f>Inputs!#REF!</f>
        <v>#REF!</v>
      </c>
      <c r="D82">
        <v>40</v>
      </c>
      <c r="E82" t="s">
        <v>32</v>
      </c>
      <c r="F82" t="s">
        <v>46</v>
      </c>
      <c r="G82" t="s">
        <v>45</v>
      </c>
      <c r="H82" s="30" t="s">
        <v>56</v>
      </c>
      <c r="I82" t="str">
        <f t="shared" si="0"/>
        <v>=Inputs!AZ$2</v>
      </c>
    </row>
    <row r="83" spans="1:9" x14ac:dyDescent="0.25">
      <c r="A83" s="3" t="e">
        <f>Inputs!#REF!</f>
        <v>#REF!</v>
      </c>
      <c r="D83">
        <v>41</v>
      </c>
      <c r="E83" t="s">
        <v>32</v>
      </c>
      <c r="F83" t="s">
        <v>30</v>
      </c>
      <c r="G83" t="s">
        <v>46</v>
      </c>
      <c r="H83" s="30" t="s">
        <v>56</v>
      </c>
      <c r="I83" t="str">
        <f t="shared" si="0"/>
        <v>=Inputs!BA$2</v>
      </c>
    </row>
    <row r="84" spans="1:9" x14ac:dyDescent="0.25">
      <c r="A84" s="3" t="e">
        <f>Inputs!#REF!</f>
        <v>#REF!</v>
      </c>
      <c r="D84">
        <v>42</v>
      </c>
      <c r="E84" t="s">
        <v>32</v>
      </c>
      <c r="F84" t="s">
        <v>30</v>
      </c>
      <c r="G84" t="s">
        <v>30</v>
      </c>
      <c r="H84" s="30" t="s">
        <v>56</v>
      </c>
      <c r="I84" t="str">
        <f t="shared" si="0"/>
        <v>=Inputs!BB$2</v>
      </c>
    </row>
    <row r="85" spans="1:9" x14ac:dyDescent="0.25">
      <c r="A85" s="3" t="e">
        <f>Inputs!#REF!</f>
        <v>#REF!</v>
      </c>
      <c r="D85">
        <v>43</v>
      </c>
      <c r="E85" t="s">
        <v>32</v>
      </c>
      <c r="F85" t="s">
        <v>30</v>
      </c>
      <c r="G85" t="s">
        <v>47</v>
      </c>
      <c r="H85" s="30" t="s">
        <v>56</v>
      </c>
      <c r="I85" t="str">
        <f t="shared" si="0"/>
        <v>=Inputs!BC$2</v>
      </c>
    </row>
    <row r="86" spans="1:9" x14ac:dyDescent="0.25">
      <c r="A86" s="3" t="e">
        <f>Inputs!#REF!</f>
        <v>#REF!</v>
      </c>
      <c r="D86">
        <v>44</v>
      </c>
      <c r="E86" t="s">
        <v>32</v>
      </c>
      <c r="F86" t="s">
        <v>30</v>
      </c>
      <c r="G86" t="s">
        <v>29</v>
      </c>
      <c r="H86" s="30" t="s">
        <v>56</v>
      </c>
      <c r="I86" t="str">
        <f t="shared" si="0"/>
        <v>=Inputs!BD$2</v>
      </c>
    </row>
    <row r="87" spans="1:9" x14ac:dyDescent="0.25">
      <c r="A87" s="3" t="e">
        <f>Inputs!#REF!</f>
        <v>#REF!</v>
      </c>
      <c r="D87">
        <v>45</v>
      </c>
      <c r="E87" t="s">
        <v>32</v>
      </c>
      <c r="F87" t="s">
        <v>30</v>
      </c>
      <c r="G87" t="s">
        <v>48</v>
      </c>
      <c r="H87" s="30" t="s">
        <v>56</v>
      </c>
      <c r="I87" t="str">
        <f t="shared" si="0"/>
        <v>=Inputs!BE$2</v>
      </c>
    </row>
    <row r="88" spans="1:9" x14ac:dyDescent="0.25">
      <c r="A88" s="3">
        <f>Inputs!C25</f>
        <v>0</v>
      </c>
      <c r="D88">
        <v>46</v>
      </c>
      <c r="E88" t="s">
        <v>32</v>
      </c>
      <c r="F88" t="s">
        <v>30</v>
      </c>
      <c r="G88" t="s">
        <v>49</v>
      </c>
      <c r="H88" s="30" t="s">
        <v>56</v>
      </c>
      <c r="I88" t="str">
        <f t="shared" si="0"/>
        <v>=Inputs!BF$2</v>
      </c>
    </row>
    <row r="89" spans="1:9" x14ac:dyDescent="0.25">
      <c r="A89" s="3">
        <f>Inputs!C26</f>
        <v>0</v>
      </c>
      <c r="D89">
        <v>47</v>
      </c>
      <c r="E89" t="s">
        <v>32</v>
      </c>
      <c r="F89" t="s">
        <v>30</v>
      </c>
      <c r="G89" t="s">
        <v>50</v>
      </c>
      <c r="H89" s="30" t="s">
        <v>56</v>
      </c>
      <c r="I89" t="str">
        <f t="shared" si="0"/>
        <v>=Inputs!BG$2</v>
      </c>
    </row>
    <row r="90" spans="1:9" x14ac:dyDescent="0.25">
      <c r="A90" s="3" t="e">
        <f>Inputs!#REF!</f>
        <v>#REF!</v>
      </c>
      <c r="D90">
        <v>48</v>
      </c>
      <c r="E90" t="s">
        <v>32</v>
      </c>
      <c r="F90" t="s">
        <v>30</v>
      </c>
      <c r="G90" t="s">
        <v>51</v>
      </c>
      <c r="H90" s="30" t="s">
        <v>56</v>
      </c>
      <c r="I90" t="str">
        <f t="shared" si="0"/>
        <v>=Inputs!BH$2</v>
      </c>
    </row>
    <row r="91" spans="1:9" x14ac:dyDescent="0.25">
      <c r="A91" s="3" t="e">
        <f>Inputs!#REF!</f>
        <v>#REF!</v>
      </c>
      <c r="D91">
        <v>49</v>
      </c>
      <c r="E91" t="s">
        <v>32</v>
      </c>
      <c r="F91" t="s">
        <v>30</v>
      </c>
      <c r="G91" t="s">
        <v>52</v>
      </c>
      <c r="H91" s="30" t="s">
        <v>56</v>
      </c>
      <c r="I91" t="str">
        <f t="shared" si="0"/>
        <v>=Inputs!BI$2</v>
      </c>
    </row>
    <row r="92" spans="1:9" x14ac:dyDescent="0.25">
      <c r="A92" s="3" t="e">
        <f>Inputs!#REF!</f>
        <v>#REF!</v>
      </c>
      <c r="D92">
        <v>50</v>
      </c>
      <c r="E92" t="s">
        <v>32</v>
      </c>
      <c r="F92" t="s">
        <v>30</v>
      </c>
      <c r="G92" t="s">
        <v>53</v>
      </c>
      <c r="H92" s="30"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Inputs!N$2</f>
        <v>4</v>
      </c>
    </row>
    <row r="102" spans="1:1" x14ac:dyDescent="0.25">
      <c r="A102" s="3" t="e">
        <f>Inputs!#REF!</f>
        <v>#REF!</v>
      </c>
    </row>
    <row r="103" spans="1:1" x14ac:dyDescent="0.25">
      <c r="A103" s="3" t="e">
        <f>Inputs!#REF!</f>
        <v>#REF!</v>
      </c>
    </row>
    <row r="104" spans="1:1" x14ac:dyDescent="0.25">
      <c r="A104" s="3" t="e">
        <f>Inputs!#REF!</f>
        <v>#REF!</v>
      </c>
    </row>
    <row r="105" spans="1:1" x14ac:dyDescent="0.25">
      <c r="A105" s="3">
        <f>Inputs!AD$2</f>
        <v>0</v>
      </c>
    </row>
    <row r="106" spans="1:1" x14ac:dyDescent="0.25">
      <c r="A106" s="3">
        <f>Inputs!AE$2</f>
        <v>0</v>
      </c>
    </row>
    <row r="107" spans="1:1" x14ac:dyDescent="0.25">
      <c r="A107" s="3">
        <f>Inputs!AF$2</f>
        <v>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000000056790</v>
      </c>
      <c r="D5" t="str">
        <f>Data1!C3</f>
        <v>DMB</v>
      </c>
      <c r="E5" t="str">
        <f>Data1!D3</f>
        <v>6448</v>
      </c>
      <c r="F5" t="str">
        <f>Data1!E3</f>
        <v>20160229070000</v>
      </c>
      <c r="G5" t="str">
        <f>Data1!F3</f>
        <v>0000003212</v>
      </c>
      <c r="H5" t="str">
        <f>Data1!G3</f>
        <v>D</v>
      </c>
      <c r="I5" t="str">
        <f>Data1!H3</f>
        <v>7</v>
      </c>
      <c r="J5" t="str">
        <f>Data1!I3</f>
        <v>02212345678</v>
      </c>
      <c r="K5" t="str">
        <f>Data1!J3</f>
        <v>E</v>
      </c>
      <c r="L5" t="str">
        <f>Data1!K3</f>
        <v>11</v>
      </c>
      <c r="M5" t="str">
        <f>Data1!L3</f>
        <v>01</v>
      </c>
      <c r="N5" t="str">
        <f>Data1!M3</f>
        <v>11</v>
      </c>
      <c r="P5" t="str">
        <f>Data1!N3</f>
        <v>00</v>
      </c>
      <c r="Q5" t="str">
        <f>Data1!O3</f>
        <v>02</v>
      </c>
      <c r="R5" t="str">
        <f>Data1!P3</f>
        <v>03</v>
      </c>
      <c r="S5" t="str">
        <f>Data1!Q3</f>
        <v>001</v>
      </c>
      <c r="T5" t="str">
        <f>Data1!R3</f>
        <v>G</v>
      </c>
      <c r="U5" t="str">
        <f>Data1!S3</f>
        <v xml:space="preserve">     NRS00</v>
      </c>
      <c r="V5" t="str">
        <f>Data1!T3</f>
        <v>N</v>
      </c>
      <c r="W5" t="str">
        <f>Data1!U3</f>
        <v>Y</v>
      </c>
    </row>
    <row r="6" spans="1:23" x14ac:dyDescent="0.25">
      <c r="A6" t="str">
        <f>Data1!A4</f>
        <v>D</v>
      </c>
      <c r="B6" t="str">
        <f>Data1!B4</f>
        <v>000000056791</v>
      </c>
      <c r="D6" t="str">
        <f>Data1!C4</f>
        <v>DMB</v>
      </c>
      <c r="E6" t="str">
        <f>Data1!D4</f>
        <v>6448</v>
      </c>
      <c r="F6" t="str">
        <f>Data1!E4</f>
        <v>20160229080000</v>
      </c>
      <c r="G6" t="str">
        <f>Data1!F4</f>
        <v>0000003213</v>
      </c>
      <c r="H6" t="str">
        <f>Data1!G4</f>
        <v>D</v>
      </c>
      <c r="I6" t="str">
        <f>Data1!H4</f>
        <v>7</v>
      </c>
      <c r="J6" t="str">
        <f>Data1!I4</f>
        <v>02212345678</v>
      </c>
      <c r="K6" t="str">
        <f>Data1!J4</f>
        <v>E</v>
      </c>
      <c r="L6" t="str">
        <f>Data1!K4</f>
        <v>11</v>
      </c>
      <c r="M6" t="str">
        <f>Data1!L4</f>
        <v>01</v>
      </c>
      <c r="N6" t="str">
        <f>Data1!M4</f>
        <v>11</v>
      </c>
      <c r="P6" t="str">
        <f>Data1!N4</f>
        <v>00</v>
      </c>
      <c r="Q6" t="str">
        <f>Data1!O4</f>
        <v>02</v>
      </c>
      <c r="R6" t="str">
        <f>Data1!P4</f>
        <v>03</v>
      </c>
      <c r="S6" t="str">
        <f>Data1!Q4</f>
        <v>001</v>
      </c>
      <c r="T6" t="str">
        <f>Data1!R4</f>
        <v>G</v>
      </c>
      <c r="U6" t="str">
        <f>Data1!S4</f>
        <v xml:space="preserve">     NRS00</v>
      </c>
      <c r="V6" t="str">
        <f>Data1!T4</f>
        <v>N</v>
      </c>
      <c r="W6" t="str">
        <f>Data1!U4</f>
        <v>Y</v>
      </c>
    </row>
    <row r="7" spans="1:23" x14ac:dyDescent="0.25">
      <c r="A7" t="str">
        <f>Data1!A5</f>
        <v>D</v>
      </c>
      <c r="B7" t="str">
        <f>Data1!B5</f>
        <v>000000056792</v>
      </c>
      <c r="D7" t="str">
        <f>Data1!C5</f>
        <v>DMB</v>
      </c>
      <c r="E7" t="str">
        <f>Data1!D5</f>
        <v>6448</v>
      </c>
      <c r="F7" t="str">
        <f>Data1!E5</f>
        <v>20160229090000</v>
      </c>
      <c r="G7" t="str">
        <f>Data1!F5</f>
        <v>0000003214</v>
      </c>
      <c r="H7" t="str">
        <f>Data1!G5</f>
        <v>D</v>
      </c>
      <c r="I7" t="str">
        <f>Data1!H5</f>
        <v>7</v>
      </c>
      <c r="J7" t="str">
        <f>Data1!I5</f>
        <v>02212345678</v>
      </c>
      <c r="K7" t="str">
        <f>Data1!J5</f>
        <v>E</v>
      </c>
      <c r="L7" t="str">
        <f>Data1!K5</f>
        <v>11</v>
      </c>
      <c r="M7" t="str">
        <f>Data1!L5</f>
        <v>01</v>
      </c>
      <c r="N7" t="str">
        <f>Data1!M5</f>
        <v>11</v>
      </c>
      <c r="P7" t="str">
        <f>Data1!N5</f>
        <v>00</v>
      </c>
      <c r="Q7" t="str">
        <f>Data1!O5</f>
        <v>02</v>
      </c>
      <c r="R7" t="str">
        <f>Data1!P5</f>
        <v>03</v>
      </c>
      <c r="S7" t="str">
        <f>Data1!Q5</f>
        <v>001</v>
      </c>
      <c r="T7" t="str">
        <f>Data1!R5</f>
        <v>G</v>
      </c>
      <c r="U7" t="str">
        <f>Data1!S5</f>
        <v xml:space="preserve">     NRS00</v>
      </c>
      <c r="V7" t="str">
        <f>Data1!T5</f>
        <v>N</v>
      </c>
      <c r="W7" t="str">
        <f>Data1!U5</f>
        <v>Y</v>
      </c>
    </row>
    <row r="8" spans="1:23" x14ac:dyDescent="0.25">
      <c r="A8" t="str">
        <f>Data1!A6</f>
        <v>D</v>
      </c>
      <c r="B8" t="str">
        <f>Data1!B6</f>
        <v>000000056793</v>
      </c>
      <c r="D8" t="str">
        <f>Data1!C6</f>
        <v>DMB</v>
      </c>
      <c r="E8" t="str">
        <f>Data1!D6</f>
        <v>6448</v>
      </c>
      <c r="F8" t="str">
        <f>Data1!E6</f>
        <v>20160229100000</v>
      </c>
      <c r="G8" t="str">
        <f>Data1!F6</f>
        <v>0000003215</v>
      </c>
      <c r="H8" t="str">
        <f>Data1!G6</f>
        <v>D</v>
      </c>
      <c r="I8" t="str">
        <f>Data1!H6</f>
        <v>7</v>
      </c>
      <c r="J8" t="str">
        <f>Data1!I6</f>
        <v>02212345678</v>
      </c>
      <c r="K8" t="str">
        <f>Data1!J6</f>
        <v>E</v>
      </c>
      <c r="L8" t="str">
        <f>Data1!K6</f>
        <v>11</v>
      </c>
      <c r="M8" t="str">
        <f>Data1!L6</f>
        <v>01</v>
      </c>
      <c r="N8" t="str">
        <f>Data1!M6</f>
        <v>11</v>
      </c>
      <c r="P8" t="str">
        <f>Data1!N6</f>
        <v>00</v>
      </c>
      <c r="Q8" t="str">
        <f>Data1!O6</f>
        <v>02</v>
      </c>
      <c r="R8" t="str">
        <f>Data1!P6</f>
        <v>03</v>
      </c>
      <c r="S8" t="str">
        <f>Data1!Q6</f>
        <v>001</v>
      </c>
      <c r="T8" t="str">
        <f>Data1!R6</f>
        <v>G</v>
      </c>
      <c r="U8" t="str">
        <f>Data1!S6</f>
        <v xml:space="preserve">     NRS00</v>
      </c>
      <c r="V8" t="str">
        <f>Data1!T6</f>
        <v>N</v>
      </c>
      <c r="W8" t="str">
        <f>Data1!U6</f>
        <v>Y</v>
      </c>
    </row>
    <row r="9" spans="1:23" x14ac:dyDescent="0.25">
      <c r="A9" t="str">
        <f>Data1!A7</f>
        <v>D</v>
      </c>
      <c r="B9" t="str">
        <f>Data1!B7</f>
        <v>000000056794</v>
      </c>
      <c r="D9" t="str">
        <f>Data1!C7</f>
        <v>DMB</v>
      </c>
      <c r="E9" t="str">
        <f>Data1!D7</f>
        <v>6448</v>
      </c>
      <c r="F9" t="str">
        <f>Data1!E7</f>
        <v>20160229110000</v>
      </c>
      <c r="G9" t="str">
        <f>Data1!F7</f>
        <v>0000003216</v>
      </c>
      <c r="H9" t="str">
        <f>Data1!G7</f>
        <v>D</v>
      </c>
      <c r="I9" t="str">
        <f>Data1!H7</f>
        <v>7</v>
      </c>
      <c r="J9" t="str">
        <f>Data1!I7</f>
        <v>02212345678</v>
      </c>
      <c r="K9" t="str">
        <f>Data1!J7</f>
        <v>E</v>
      </c>
      <c r="L9" t="str">
        <f>Data1!K7</f>
        <v>11</v>
      </c>
      <c r="M9" t="str">
        <f>Data1!L7</f>
        <v>01</v>
      </c>
      <c r="N9" t="str">
        <f>Data1!M7</f>
        <v>11</v>
      </c>
      <c r="P9" t="str">
        <f>Data1!N7</f>
        <v>00</v>
      </c>
      <c r="Q9" t="str">
        <f>Data1!O7</f>
        <v>02</v>
      </c>
      <c r="R9" t="str">
        <f>Data1!P7</f>
        <v>03</v>
      </c>
      <c r="S9" t="str">
        <f>Data1!Q7</f>
        <v>001</v>
      </c>
      <c r="T9" t="str">
        <f>Data1!R7</f>
        <v>G</v>
      </c>
      <c r="U9" t="str">
        <f>Data1!S7</f>
        <v xml:space="preserve">     NRS00</v>
      </c>
      <c r="V9" t="str">
        <f>Data1!T7</f>
        <v>N</v>
      </c>
      <c r="W9" t="str">
        <f>Data1!U7</f>
        <v>Y</v>
      </c>
    </row>
    <row r="10" spans="1:23" x14ac:dyDescent="0.25">
      <c r="A10" t="str">
        <f>Data1!A8</f>
        <v>D</v>
      </c>
      <c r="B10" t="str">
        <f>Data1!B8</f>
        <v>000000056795</v>
      </c>
      <c r="D10" t="str">
        <f>Data1!C8</f>
        <v>DMB</v>
      </c>
      <c r="E10" t="str">
        <f>Data1!D8</f>
        <v>6448</v>
      </c>
      <c r="F10" t="str">
        <f>Data1!E8</f>
        <v>20160229120000</v>
      </c>
      <c r="G10" t="str">
        <f>Data1!F8</f>
        <v>0000003217</v>
      </c>
      <c r="H10" t="str">
        <f>Data1!G8</f>
        <v>D</v>
      </c>
      <c r="I10" t="str">
        <f>Data1!H8</f>
        <v>7</v>
      </c>
      <c r="J10" t="str">
        <f>Data1!I8</f>
        <v>02212345678</v>
      </c>
      <c r="K10" t="str">
        <f>Data1!J8</f>
        <v>E</v>
      </c>
      <c r="L10" t="str">
        <f>Data1!K8</f>
        <v>11</v>
      </c>
      <c r="M10" t="str">
        <f>Data1!L8</f>
        <v>01</v>
      </c>
      <c r="N10" t="str">
        <f>Data1!M8</f>
        <v>11</v>
      </c>
      <c r="P10" t="str">
        <f>Data1!N8</f>
        <v>00</v>
      </c>
      <c r="Q10" t="str">
        <f>Data1!O8</f>
        <v>02</v>
      </c>
      <c r="R10" t="str">
        <f>Data1!P8</f>
        <v>03</v>
      </c>
      <c r="S10" t="str">
        <f>Data1!Q8</f>
        <v>001</v>
      </c>
      <c r="T10" t="str">
        <f>Data1!R8</f>
        <v>G</v>
      </c>
      <c r="U10" t="str">
        <f>Data1!S8</f>
        <v xml:space="preserve">     NRS00</v>
      </c>
      <c r="V10" t="str">
        <f>Data1!T8</f>
        <v>N</v>
      </c>
      <c r="W10" t="str">
        <f>Data1!U8</f>
        <v>Y</v>
      </c>
    </row>
    <row r="11" spans="1:23" x14ac:dyDescent="0.25">
      <c r="A11" t="str">
        <f>Data1!A9</f>
        <v>D</v>
      </c>
      <c r="B11" t="str">
        <f>Data1!B9</f>
        <v>000000056796</v>
      </c>
      <c r="D11" t="str">
        <f>Data1!C9</f>
        <v>DMB</v>
      </c>
      <c r="E11" t="str">
        <f>Data1!D9</f>
        <v>6448</v>
      </c>
      <c r="F11" t="str">
        <f>Data1!E9</f>
        <v>20160229130000</v>
      </c>
      <c r="G11" t="str">
        <f>Data1!F9</f>
        <v>0000003218</v>
      </c>
      <c r="H11" t="str">
        <f>Data1!G9</f>
        <v>D</v>
      </c>
      <c r="I11" t="str">
        <f>Data1!H9</f>
        <v>7</v>
      </c>
      <c r="J11" t="str">
        <f>Data1!I9</f>
        <v>02212345678</v>
      </c>
      <c r="K11" t="str">
        <f>Data1!J9</f>
        <v>E</v>
      </c>
      <c r="L11" t="str">
        <f>Data1!K9</f>
        <v>11</v>
      </c>
      <c r="M11" t="str">
        <f>Data1!L9</f>
        <v>01</v>
      </c>
      <c r="N11" t="str">
        <f>Data1!M9</f>
        <v>11</v>
      </c>
      <c r="P11" t="str">
        <f>Data1!N9</f>
        <v>00</v>
      </c>
      <c r="Q11" t="str">
        <f>Data1!O9</f>
        <v>02</v>
      </c>
      <c r="R11" t="str">
        <f>Data1!P9</f>
        <v>03</v>
      </c>
      <c r="S11" t="str">
        <f>Data1!Q9</f>
        <v>001</v>
      </c>
      <c r="T11" t="str">
        <f>Data1!R9</f>
        <v>G</v>
      </c>
      <c r="U11" t="str">
        <f>Data1!S9</f>
        <v xml:space="preserve">     NRS00</v>
      </c>
      <c r="V11" t="str">
        <f>Data1!T9</f>
        <v>N</v>
      </c>
      <c r="W11" t="str">
        <f>Data1!U9</f>
        <v>Y</v>
      </c>
    </row>
    <row r="12" spans="1:23" x14ac:dyDescent="0.25">
      <c r="A12" t="str">
        <f>Data1!A10</f>
        <v>D</v>
      </c>
      <c r="B12" t="str">
        <f>Data1!B10</f>
        <v>000000056797</v>
      </c>
      <c r="D12" t="str">
        <f>Data1!C10</f>
        <v>DMB</v>
      </c>
      <c r="E12" t="str">
        <f>Data1!D10</f>
        <v>6448</v>
      </c>
      <c r="F12" t="str">
        <f>Data1!E10</f>
        <v>20160229140000</v>
      </c>
      <c r="G12" t="str">
        <f>Data1!F10</f>
        <v>0000003219</v>
      </c>
      <c r="H12" t="str">
        <f>Data1!G10</f>
        <v>D</v>
      </c>
      <c r="I12" t="str">
        <f>Data1!H10</f>
        <v>7</v>
      </c>
      <c r="J12" t="str">
        <f>Data1!I10</f>
        <v>02212345678</v>
      </c>
      <c r="K12" t="str">
        <f>Data1!J10</f>
        <v>E</v>
      </c>
      <c r="L12" t="str">
        <f>Data1!K10</f>
        <v>11</v>
      </c>
      <c r="M12" t="str">
        <f>Data1!L10</f>
        <v>01</v>
      </c>
      <c r="N12" t="str">
        <f>Data1!M10</f>
        <v>11</v>
      </c>
      <c r="P12" t="str">
        <f>Data1!N10</f>
        <v>00</v>
      </c>
      <c r="Q12" t="str">
        <f>Data1!O10</f>
        <v>02</v>
      </c>
      <c r="R12" t="str">
        <f>Data1!P10</f>
        <v>03</v>
      </c>
      <c r="S12" t="str">
        <f>Data1!Q10</f>
        <v>001</v>
      </c>
      <c r="T12" t="str">
        <f>Data1!R10</f>
        <v>G</v>
      </c>
      <c r="U12" t="str">
        <f>Data1!S10</f>
        <v xml:space="preserve">     NRS00</v>
      </c>
      <c r="V12" t="str">
        <f>Data1!T10</f>
        <v>N</v>
      </c>
      <c r="W12" t="str">
        <f>Data1!U10</f>
        <v>Y</v>
      </c>
    </row>
    <row r="13" spans="1:23" x14ac:dyDescent="0.25">
      <c r="A13" t="str">
        <f>Data1!A11</f>
        <v>D</v>
      </c>
      <c r="B13" t="str">
        <f>Data1!B11</f>
        <v>000000056798</v>
      </c>
      <c r="D13" t="str">
        <f>Data1!C11</f>
        <v>DMB</v>
      </c>
      <c r="E13" t="str">
        <f>Data1!D11</f>
        <v>6448</v>
      </c>
      <c r="F13" t="str">
        <f>Data1!E11</f>
        <v>20160229150000</v>
      </c>
      <c r="G13" t="str">
        <f>Data1!F11</f>
        <v>0000003220</v>
      </c>
      <c r="H13" t="str">
        <f>Data1!G11</f>
        <v>D</v>
      </c>
      <c r="I13" t="str">
        <f>Data1!H11</f>
        <v>7</v>
      </c>
      <c r="J13" t="str">
        <f>Data1!I11</f>
        <v>02212345678</v>
      </c>
      <c r="K13" t="str">
        <f>Data1!J11</f>
        <v>E</v>
      </c>
      <c r="L13" t="str">
        <f>Data1!K11</f>
        <v>11</v>
      </c>
      <c r="M13" t="str">
        <f>Data1!L11</f>
        <v>01</v>
      </c>
      <c r="N13" t="str">
        <f>Data1!M11</f>
        <v>11</v>
      </c>
      <c r="P13" t="str">
        <f>Data1!N11</f>
        <v>00</v>
      </c>
      <c r="Q13" t="str">
        <f>Data1!O11</f>
        <v>02</v>
      </c>
      <c r="R13" t="str">
        <f>Data1!P11</f>
        <v>03</v>
      </c>
      <c r="S13" t="str">
        <f>Data1!Q11</f>
        <v>001</v>
      </c>
      <c r="T13" t="str">
        <f>Data1!R11</f>
        <v>G</v>
      </c>
      <c r="U13" t="str">
        <f>Data1!S11</f>
        <v xml:space="preserve">     NRS00</v>
      </c>
      <c r="V13" t="str">
        <f>Data1!T11</f>
        <v>N</v>
      </c>
      <c r="W13" t="str">
        <f>Data1!U11</f>
        <v>Y</v>
      </c>
    </row>
    <row r="14" spans="1:23" x14ac:dyDescent="0.25">
      <c r="A14" t="str">
        <f>Data1!A12</f>
        <v>D</v>
      </c>
      <c r="B14" t="str">
        <f>Data1!B12</f>
        <v>000000056799</v>
      </c>
      <c r="D14" t="str">
        <f>Data1!C12</f>
        <v>DMB</v>
      </c>
      <c r="E14" t="str">
        <f>Data1!D12</f>
        <v>6448</v>
      </c>
      <c r="F14" t="str">
        <f>Data1!E12</f>
        <v>20160229160000</v>
      </c>
      <c r="G14" t="str">
        <f>Data1!F12</f>
        <v>0000003221</v>
      </c>
      <c r="H14" t="str">
        <f>Data1!G12</f>
        <v>D</v>
      </c>
      <c r="I14" t="str">
        <f>Data1!H12</f>
        <v>7</v>
      </c>
      <c r="J14" t="str">
        <f>Data1!I12</f>
        <v>02212345678</v>
      </c>
      <c r="K14" t="str">
        <f>Data1!J12</f>
        <v>E</v>
      </c>
      <c r="L14" t="str">
        <f>Data1!K12</f>
        <v>11</v>
      </c>
      <c r="M14" t="str">
        <f>Data1!L12</f>
        <v>01</v>
      </c>
      <c r="N14" t="str">
        <f>Data1!M12</f>
        <v>11</v>
      </c>
      <c r="P14" t="str">
        <f>Data1!N12</f>
        <v>00</v>
      </c>
      <c r="Q14" t="str">
        <f>Data1!O12</f>
        <v>02</v>
      </c>
      <c r="R14" t="str">
        <f>Data1!P12</f>
        <v>03</v>
      </c>
      <c r="S14" t="str">
        <f>Data1!Q12</f>
        <v>001</v>
      </c>
      <c r="T14" t="str">
        <f>Data1!R12</f>
        <v>G</v>
      </c>
      <c r="U14" t="str">
        <f>Data1!S12</f>
        <v xml:space="preserve">     NRS00</v>
      </c>
      <c r="V14" t="str">
        <f>Data1!T12</f>
        <v>N</v>
      </c>
      <c r="W14" t="str">
        <f>Data1!U12</f>
        <v>Y</v>
      </c>
    </row>
    <row r="15" spans="1:23" x14ac:dyDescent="0.25">
      <c r="A15" t="str">
        <f>Data1!A13</f>
        <v>D</v>
      </c>
      <c r="B15" t="str">
        <f>Data1!B13</f>
        <v>000000056800</v>
      </c>
      <c r="D15" t="str">
        <f>Data1!C13</f>
        <v>DMB</v>
      </c>
      <c r="E15" t="str">
        <f>Data1!D13</f>
        <v>6450</v>
      </c>
      <c r="F15" t="str">
        <f>Data1!E13</f>
        <v>20160229080000</v>
      </c>
      <c r="G15" t="str">
        <f>Data1!F13</f>
        <v>0000003222</v>
      </c>
      <c r="H15" t="str">
        <f>Data1!G13</f>
        <v>D</v>
      </c>
      <c r="I15" t="str">
        <f>Data1!H13</f>
        <v>7</v>
      </c>
      <c r="J15" t="str">
        <f>Data1!I13</f>
        <v>02212345679</v>
      </c>
      <c r="K15" t="str">
        <f>Data1!J13</f>
        <v>E</v>
      </c>
      <c r="L15" t="str">
        <f>Data1!K13</f>
        <v>11</v>
      </c>
      <c r="M15" t="str">
        <f>Data1!L13</f>
        <v>01</v>
      </c>
      <c r="N15" t="str">
        <f>Data1!M13</f>
        <v>11</v>
      </c>
      <c r="P15" t="str">
        <f>Data1!N13</f>
        <v>00</v>
      </c>
      <c r="Q15" t="str">
        <f>Data1!O13</f>
        <v>02</v>
      </c>
      <c r="R15" t="str">
        <f>Data1!P13</f>
        <v>03</v>
      </c>
      <c r="S15" t="str">
        <f>Data1!Q13</f>
        <v>001</v>
      </c>
      <c r="T15" t="str">
        <f>Data1!R13</f>
        <v>G</v>
      </c>
      <c r="U15" t="str">
        <f>Data1!S13</f>
        <v xml:space="preserve">     NRS00</v>
      </c>
      <c r="V15" t="str">
        <f>Data1!T13</f>
        <v>N</v>
      </c>
      <c r="W15" t="str">
        <f>Data1!U13</f>
        <v>Y</v>
      </c>
    </row>
    <row r="16" spans="1:23" x14ac:dyDescent="0.25">
      <c r="A16" t="str">
        <f>Data1!A14</f>
        <v>D</v>
      </c>
      <c r="B16" t="str">
        <f>Data1!B14</f>
        <v>000000056801</v>
      </c>
      <c r="D16" t="str">
        <f>Data1!C14</f>
        <v>DMB</v>
      </c>
      <c r="E16" t="str">
        <f>Data1!D14</f>
        <v>6450</v>
      </c>
      <c r="F16" t="str">
        <f>Data1!E14</f>
        <v>20160229090000</v>
      </c>
      <c r="G16" t="str">
        <f>Data1!F14</f>
        <v>0000003223</v>
      </c>
      <c r="H16" t="str">
        <f>Data1!G14</f>
        <v>D</v>
      </c>
      <c r="I16" t="str">
        <f>Data1!H14</f>
        <v>7</v>
      </c>
      <c r="J16" t="str">
        <f>Data1!I14</f>
        <v>02212345679</v>
      </c>
      <c r="K16" t="str">
        <f>Data1!J14</f>
        <v>E</v>
      </c>
      <c r="L16" t="str">
        <f>Data1!K14</f>
        <v>11</v>
      </c>
      <c r="M16" t="str">
        <f>Data1!L14</f>
        <v>01</v>
      </c>
      <c r="N16" t="str">
        <f>Data1!M14</f>
        <v>11</v>
      </c>
      <c r="P16" t="str">
        <f>Data1!N14</f>
        <v>00</v>
      </c>
      <c r="Q16" t="str">
        <f>Data1!O14</f>
        <v>02</v>
      </c>
      <c r="R16" t="str">
        <f>Data1!P14</f>
        <v>03</v>
      </c>
      <c r="S16" t="str">
        <f>Data1!Q14</f>
        <v>001</v>
      </c>
      <c r="T16" t="str">
        <f>Data1!R14</f>
        <v>G</v>
      </c>
      <c r="U16" t="str">
        <f>Data1!S14</f>
        <v xml:space="preserve">     NRS00</v>
      </c>
      <c r="V16" t="str">
        <f>Data1!T14</f>
        <v>N</v>
      </c>
      <c r="W16" t="str">
        <f>Data1!U14</f>
        <v>Y</v>
      </c>
    </row>
    <row r="17" spans="1:23" x14ac:dyDescent="0.25">
      <c r="A17" t="str">
        <f>Data1!A15</f>
        <v>D</v>
      </c>
      <c r="B17" t="str">
        <f>Data1!B15</f>
        <v>000000056802</v>
      </c>
      <c r="D17" t="str">
        <f>Data1!C15</f>
        <v>DMB</v>
      </c>
      <c r="E17" t="str">
        <f>Data1!D15</f>
        <v>6450</v>
      </c>
      <c r="F17" t="str">
        <f>Data1!E15</f>
        <v>20160229100000</v>
      </c>
      <c r="G17" t="str">
        <f>Data1!F15</f>
        <v>0000003224</v>
      </c>
      <c r="H17" t="str">
        <f>Data1!G15</f>
        <v>D</v>
      </c>
      <c r="I17" t="str">
        <f>Data1!H15</f>
        <v>7</v>
      </c>
      <c r="J17" t="str">
        <f>Data1!I15</f>
        <v>02212345679</v>
      </c>
      <c r="K17" t="str">
        <f>Data1!J15</f>
        <v>E</v>
      </c>
      <c r="L17" t="str">
        <f>Data1!K15</f>
        <v>11</v>
      </c>
      <c r="M17" t="str">
        <f>Data1!L15</f>
        <v>01</v>
      </c>
      <c r="N17" t="str">
        <f>Data1!M15</f>
        <v>11</v>
      </c>
      <c r="P17" t="str">
        <f>Data1!N15</f>
        <v>00</v>
      </c>
      <c r="Q17" t="str">
        <f>Data1!O15</f>
        <v>02</v>
      </c>
      <c r="R17" t="str">
        <f>Data1!P15</f>
        <v>03</v>
      </c>
      <c r="S17" t="str">
        <f>Data1!Q15</f>
        <v>001</v>
      </c>
      <c r="T17" t="str">
        <f>Data1!R15</f>
        <v>G</v>
      </c>
      <c r="U17" t="str">
        <f>Data1!S15</f>
        <v xml:space="preserve">     NRS00</v>
      </c>
      <c r="V17" t="str">
        <f>Data1!T15</f>
        <v>N</v>
      </c>
      <c r="W17" t="str">
        <f>Data1!U15</f>
        <v>Y</v>
      </c>
    </row>
    <row r="18" spans="1:23" x14ac:dyDescent="0.25">
      <c r="A18" t="str">
        <f>Data1!A16</f>
        <v>D</v>
      </c>
      <c r="B18" t="str">
        <f>Data1!B16</f>
        <v>000000056803</v>
      </c>
      <c r="D18" t="str">
        <f>Data1!C16</f>
        <v>DMB</v>
      </c>
      <c r="E18" t="str">
        <f>Data1!D16</f>
        <v>6450</v>
      </c>
      <c r="F18" t="str">
        <f>Data1!E16</f>
        <v>20160229110000</v>
      </c>
      <c r="G18" t="str">
        <f>Data1!F16</f>
        <v>0000003225</v>
      </c>
      <c r="H18" t="str">
        <f>Data1!G16</f>
        <v>D</v>
      </c>
      <c r="I18" t="str">
        <f>Data1!H16</f>
        <v>7</v>
      </c>
      <c r="J18" t="str">
        <f>Data1!I16</f>
        <v>02212345679</v>
      </c>
      <c r="K18" t="str">
        <f>Data1!J16</f>
        <v>E</v>
      </c>
      <c r="L18" t="str">
        <f>Data1!K16</f>
        <v>11</v>
      </c>
      <c r="M18" t="str">
        <f>Data1!L16</f>
        <v>01</v>
      </c>
      <c r="N18" t="str">
        <f>Data1!M16</f>
        <v>11</v>
      </c>
      <c r="P18" t="str">
        <f>Data1!N16</f>
        <v>00</v>
      </c>
      <c r="Q18" t="str">
        <f>Data1!O16</f>
        <v>02</v>
      </c>
      <c r="R18" t="str">
        <f>Data1!P16</f>
        <v>03</v>
      </c>
      <c r="S18" t="str">
        <f>Data1!Q16</f>
        <v>001</v>
      </c>
      <c r="T18" t="str">
        <f>Data1!R16</f>
        <v>G</v>
      </c>
      <c r="U18" t="str">
        <f>Data1!S16</f>
        <v xml:space="preserve">     NRS00</v>
      </c>
      <c r="V18" t="str">
        <f>Data1!T16</f>
        <v>N</v>
      </c>
      <c r="W18" t="str">
        <f>Data1!U16</f>
        <v>Y</v>
      </c>
    </row>
    <row r="19" spans="1:23" x14ac:dyDescent="0.25">
      <c r="A19" t="str">
        <f>Data1!A17</f>
        <v>D</v>
      </c>
      <c r="B19" t="str">
        <f>Data1!B17</f>
        <v>000000056804</v>
      </c>
      <c r="D19" t="str">
        <f>Data1!C17</f>
        <v>DMB</v>
      </c>
      <c r="E19" t="str">
        <f>Data1!D17</f>
        <v>6450</v>
      </c>
      <c r="F19" t="str">
        <f>Data1!E17</f>
        <v>20160229120000</v>
      </c>
      <c r="G19" t="str">
        <f>Data1!F17</f>
        <v>0000003226</v>
      </c>
      <c r="H19" t="str">
        <f>Data1!G17</f>
        <v>D</v>
      </c>
      <c r="I19" t="str">
        <f>Data1!H17</f>
        <v>7</v>
      </c>
      <c r="J19" t="str">
        <f>Data1!I17</f>
        <v>02212345679</v>
      </c>
      <c r="K19" t="str">
        <f>Data1!J17</f>
        <v>E</v>
      </c>
      <c r="L19" t="str">
        <f>Data1!K17</f>
        <v>11</v>
      </c>
      <c r="M19" t="str">
        <f>Data1!L17</f>
        <v>01</v>
      </c>
      <c r="N19" t="str">
        <f>Data1!M17</f>
        <v>11</v>
      </c>
      <c r="P19" t="str">
        <f>Data1!N17</f>
        <v>00</v>
      </c>
      <c r="Q19" t="str">
        <f>Data1!O17</f>
        <v>02</v>
      </c>
      <c r="R19" t="str">
        <f>Data1!P17</f>
        <v>03</v>
      </c>
      <c r="S19" t="str">
        <f>Data1!Q17</f>
        <v>001</v>
      </c>
      <c r="T19" t="str">
        <f>Data1!R17</f>
        <v>G</v>
      </c>
      <c r="U19" t="str">
        <f>Data1!S17</f>
        <v xml:space="preserve">     NRS00</v>
      </c>
      <c r="V19" t="str">
        <f>Data1!T17</f>
        <v>N</v>
      </c>
      <c r="W19" t="str">
        <f>Data1!U17</f>
        <v>Y</v>
      </c>
    </row>
    <row r="20" spans="1:23" x14ac:dyDescent="0.25">
      <c r="A20" t="str">
        <f>Data1!A18</f>
        <v>D</v>
      </c>
      <c r="B20" t="str">
        <f>Data1!B18</f>
        <v>000000056805</v>
      </c>
      <c r="D20" t="str">
        <f>Data1!C18</f>
        <v>DMB</v>
      </c>
      <c r="E20" t="str">
        <f>Data1!D18</f>
        <v>6452</v>
      </c>
      <c r="F20" t="str">
        <f>Data1!E18</f>
        <v>20160129070000</v>
      </c>
      <c r="G20" t="str">
        <f>Data1!F18</f>
        <v>0000003227</v>
      </c>
      <c r="H20" t="str">
        <f>Data1!G18</f>
        <v>D</v>
      </c>
      <c r="I20" t="str">
        <f>Data1!H18</f>
        <v>7</v>
      </c>
      <c r="J20" t="str">
        <f>Data1!I18</f>
        <v>02212345680</v>
      </c>
      <c r="K20" t="str">
        <f>Data1!J18</f>
        <v>E</v>
      </c>
      <c r="L20" t="str">
        <f>Data1!K18</f>
        <v>11</v>
      </c>
      <c r="M20" t="str">
        <f>Data1!L18</f>
        <v>01</v>
      </c>
      <c r="N20" t="str">
        <f>Data1!M18</f>
        <v>11</v>
      </c>
      <c r="P20" t="str">
        <f>Data1!N18</f>
        <v>00</v>
      </c>
      <c r="Q20" t="str">
        <f>Data1!O18</f>
        <v>02</v>
      </c>
      <c r="R20" t="str">
        <f>Data1!P18</f>
        <v>03</v>
      </c>
      <c r="S20" t="str">
        <f>Data1!Q18</f>
        <v>001</v>
      </c>
      <c r="T20" t="str">
        <f>Data1!R18</f>
        <v>G</v>
      </c>
      <c r="U20" t="str">
        <f>Data1!S18</f>
        <v xml:space="preserve">     NRS00</v>
      </c>
      <c r="V20" t="str">
        <f>Data1!T18</f>
        <v>N</v>
      </c>
      <c r="W20" t="str">
        <f>Data1!U18</f>
        <v>Y</v>
      </c>
    </row>
    <row r="21" spans="1:23" x14ac:dyDescent="0.25">
      <c r="A21" t="str">
        <f>Data1!A19</f>
        <v>D</v>
      </c>
      <c r="B21" t="str">
        <f>Data1!B19</f>
        <v>000000056806</v>
      </c>
      <c r="D21" t="str">
        <f>Data1!C19</f>
        <v>DMB</v>
      </c>
      <c r="E21" t="str">
        <f>Data1!D19</f>
        <v>6452</v>
      </c>
      <c r="F21" t="str">
        <f>Data1!E19</f>
        <v>20160129080000</v>
      </c>
      <c r="G21" t="str">
        <f>Data1!F19</f>
        <v>0000003228</v>
      </c>
      <c r="H21" t="str">
        <f>Data1!G19</f>
        <v>D</v>
      </c>
      <c r="I21" t="str">
        <f>Data1!H19</f>
        <v>7</v>
      </c>
      <c r="J21" t="str">
        <f>Data1!I19</f>
        <v>02212345680</v>
      </c>
      <c r="K21" t="str">
        <f>Data1!J19</f>
        <v>E</v>
      </c>
      <c r="L21" t="str">
        <f>Data1!K19</f>
        <v>11</v>
      </c>
      <c r="M21" t="str">
        <f>Data1!L19</f>
        <v>01</v>
      </c>
      <c r="N21" t="str">
        <f>Data1!M19</f>
        <v>11</v>
      </c>
      <c r="P21" t="str">
        <f>Data1!N19</f>
        <v>00</v>
      </c>
      <c r="Q21" t="str">
        <f>Data1!O19</f>
        <v>02</v>
      </c>
      <c r="R21" t="str">
        <f>Data1!P19</f>
        <v>03</v>
      </c>
      <c r="S21" t="str">
        <f>Data1!Q19</f>
        <v>001</v>
      </c>
      <c r="T21" t="str">
        <f>Data1!R19</f>
        <v>G</v>
      </c>
      <c r="U21" t="str">
        <f>Data1!S19</f>
        <v xml:space="preserve">     NRS00</v>
      </c>
      <c r="V21" t="str">
        <f>Data1!T19</f>
        <v>N</v>
      </c>
      <c r="W21" t="str">
        <f>Data1!U19</f>
        <v>Y</v>
      </c>
    </row>
    <row r="22" spans="1:23" x14ac:dyDescent="0.25">
      <c r="A22" t="str">
        <f>Data1!A20</f>
        <v>D</v>
      </c>
      <c r="B22" t="str">
        <f>Data1!B20</f>
        <v>000000056807</v>
      </c>
      <c r="D22" t="str">
        <f>Data1!C20</f>
        <v>DMB</v>
      </c>
      <c r="E22" t="str">
        <f>Data1!D20</f>
        <v>6452</v>
      </c>
      <c r="F22" t="str">
        <f>Data1!E20</f>
        <v>20160129090000</v>
      </c>
      <c r="G22" t="str">
        <f>Data1!F20</f>
        <v>0000003229</v>
      </c>
      <c r="H22" t="str">
        <f>Data1!G20</f>
        <v>D</v>
      </c>
      <c r="I22" t="str">
        <f>Data1!H20</f>
        <v>7</v>
      </c>
      <c r="J22" t="str">
        <f>Data1!I20</f>
        <v>02212345680</v>
      </c>
      <c r="K22" t="str">
        <f>Data1!J20</f>
        <v>E</v>
      </c>
      <c r="L22" t="str">
        <f>Data1!K20</f>
        <v>11</v>
      </c>
      <c r="M22" t="str">
        <f>Data1!L20</f>
        <v>01</v>
      </c>
      <c r="N22" t="str">
        <f>Data1!M20</f>
        <v>11</v>
      </c>
      <c r="P22" t="str">
        <f>Data1!N20</f>
        <v>00</v>
      </c>
      <c r="Q22" t="str">
        <f>Data1!O20</f>
        <v>02</v>
      </c>
      <c r="R22" t="str">
        <f>Data1!P20</f>
        <v>03</v>
      </c>
      <c r="S22" t="str">
        <f>Data1!Q20</f>
        <v>001</v>
      </c>
      <c r="T22" t="str">
        <f>Data1!R20</f>
        <v>G</v>
      </c>
      <c r="U22" t="str">
        <f>Data1!S20</f>
        <v xml:space="preserve">     NRS00</v>
      </c>
      <c r="V22" t="str">
        <f>Data1!T20</f>
        <v>N</v>
      </c>
      <c r="W22" t="str">
        <f>Data1!U20</f>
        <v>Y</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Aditie Singh</cp:lastModifiedBy>
  <dcterms:created xsi:type="dcterms:W3CDTF">2012-08-21T09:17:55Z</dcterms:created>
  <dcterms:modified xsi:type="dcterms:W3CDTF">2016-05-17T09:54:02Z</dcterms:modified>
</cp:coreProperties>
</file>