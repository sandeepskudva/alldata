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690" windowWidth="18720" windowHeight="7095" activeTab="2"/>
  </bookViews>
  <sheets>
    <sheet name="Revision" sheetId="10" r:id="rId1"/>
    <sheet name="Help" sheetId="3" r:id="rId2"/>
    <sheet name="Inputs" sheetId="2" r:id="rId3"/>
    <sheet name="Data1" sheetId="6" r:id="rId4"/>
    <sheet name="Data2" sheetId="7" r:id="rId5"/>
    <sheet name="Temp" sheetId="8" r:id="rId6"/>
    <sheet name="Correction" sheetId="9" r:id="rId7"/>
  </sheets>
  <functionGroups builtInGroupCount="17"/>
  <definedNames>
    <definedName name="_xlnm._FilterDatabase" localSheetId="3" hidden="1">Data1!$A$1:$U$427</definedName>
    <definedName name="_xlnm._FilterDatabase" localSheetId="5" hidden="1">Temp!$A$1:$A$47</definedName>
    <definedName name="Number_of_Fields">Inputs!$G$16</definedName>
  </definedNames>
  <calcPr calcId="145621"/>
</workbook>
</file>

<file path=xl/calcChain.xml><?xml version="1.0" encoding="utf-8"?>
<calcChain xmlns="http://schemas.openxmlformats.org/spreadsheetml/2006/main">
  <c r="H34" i="2" l="1"/>
  <c r="H35" i="2"/>
  <c r="H39" i="2"/>
  <c r="V4" i="9" l="1"/>
  <c r="W4" i="9"/>
  <c r="V5" i="9"/>
  <c r="W5" i="9"/>
  <c r="V6" i="9"/>
  <c r="W6" i="9"/>
  <c r="V7" i="9"/>
  <c r="W7" i="9"/>
  <c r="V8" i="9"/>
  <c r="W8" i="9"/>
  <c r="V9" i="9"/>
  <c r="W9" i="9"/>
  <c r="V10" i="9"/>
  <c r="W10" i="9"/>
  <c r="V11" i="9"/>
  <c r="W11" i="9"/>
  <c r="V12" i="9"/>
  <c r="W12" i="9"/>
  <c r="V13" i="9"/>
  <c r="W13" i="9"/>
  <c r="V14" i="9"/>
  <c r="W14" i="9"/>
  <c r="V15" i="9"/>
  <c r="W15" i="9"/>
  <c r="V16" i="9"/>
  <c r="W16" i="9"/>
  <c r="V17" i="9"/>
  <c r="W17" i="9"/>
  <c r="V18" i="9"/>
  <c r="W18" i="9"/>
  <c r="V19" i="9"/>
  <c r="W19" i="9"/>
  <c r="V20" i="9"/>
  <c r="W20" i="9"/>
  <c r="V21" i="9"/>
  <c r="W21" i="9"/>
  <c r="V22" i="9"/>
  <c r="W22" i="9"/>
  <c r="V3" i="9"/>
  <c r="W3" i="9"/>
  <c r="A4" i="9" l="1"/>
  <c r="B4" i="9"/>
  <c r="D4" i="9"/>
  <c r="E4" i="9"/>
  <c r="F4" i="9"/>
  <c r="G4" i="9"/>
  <c r="H4" i="9"/>
  <c r="I4" i="9"/>
  <c r="J4" i="9"/>
  <c r="K4" i="9"/>
  <c r="L4" i="9"/>
  <c r="M4" i="9"/>
  <c r="N4" i="9"/>
  <c r="P4" i="9"/>
  <c r="Q4" i="9"/>
  <c r="R4" i="9"/>
  <c r="S4" i="9"/>
  <c r="T4" i="9"/>
  <c r="U4" i="9"/>
  <c r="A5" i="9"/>
  <c r="B5" i="9"/>
  <c r="D5" i="9"/>
  <c r="E5" i="9"/>
  <c r="F5" i="9"/>
  <c r="G5" i="9"/>
  <c r="H5" i="9"/>
  <c r="I5" i="9"/>
  <c r="J5" i="9"/>
  <c r="K5" i="9"/>
  <c r="L5" i="9"/>
  <c r="M5" i="9"/>
  <c r="N5" i="9"/>
  <c r="P5" i="9"/>
  <c r="Q5" i="9"/>
  <c r="R5" i="9"/>
  <c r="S5" i="9"/>
  <c r="T5" i="9"/>
  <c r="U5" i="9"/>
  <c r="A6" i="9"/>
  <c r="B6" i="9"/>
  <c r="D6" i="9"/>
  <c r="E6" i="9"/>
  <c r="F6" i="9"/>
  <c r="G6" i="9"/>
  <c r="H6" i="9"/>
  <c r="I6" i="9"/>
  <c r="J6" i="9"/>
  <c r="K6" i="9"/>
  <c r="L6" i="9"/>
  <c r="M6" i="9"/>
  <c r="N6" i="9"/>
  <c r="P6" i="9"/>
  <c r="Q6" i="9"/>
  <c r="R6" i="9"/>
  <c r="S6" i="9"/>
  <c r="T6" i="9"/>
  <c r="U6" i="9"/>
  <c r="A7" i="9"/>
  <c r="B7" i="9"/>
  <c r="D7" i="9"/>
  <c r="E7" i="9"/>
  <c r="F7" i="9"/>
  <c r="G7" i="9"/>
  <c r="H7" i="9"/>
  <c r="I7" i="9"/>
  <c r="J7" i="9"/>
  <c r="K7" i="9"/>
  <c r="L7" i="9"/>
  <c r="M7" i="9"/>
  <c r="N7" i="9"/>
  <c r="P7" i="9"/>
  <c r="Q7" i="9"/>
  <c r="R7" i="9"/>
  <c r="S7" i="9"/>
  <c r="T7" i="9"/>
  <c r="U7" i="9"/>
  <c r="A8" i="9"/>
  <c r="B8" i="9"/>
  <c r="D8" i="9"/>
  <c r="E8" i="9"/>
  <c r="F8" i="9"/>
  <c r="G8" i="9"/>
  <c r="H8" i="9"/>
  <c r="I8" i="9"/>
  <c r="J8" i="9"/>
  <c r="K8" i="9"/>
  <c r="L8" i="9"/>
  <c r="M8" i="9"/>
  <c r="N8" i="9"/>
  <c r="P8" i="9"/>
  <c r="Q8" i="9"/>
  <c r="R8" i="9"/>
  <c r="S8" i="9"/>
  <c r="T8" i="9"/>
  <c r="U8" i="9"/>
  <c r="A9" i="9"/>
  <c r="B9" i="9"/>
  <c r="D9" i="9"/>
  <c r="E9" i="9"/>
  <c r="F9" i="9"/>
  <c r="G9" i="9"/>
  <c r="H9" i="9"/>
  <c r="I9" i="9"/>
  <c r="J9" i="9"/>
  <c r="K9" i="9"/>
  <c r="L9" i="9"/>
  <c r="M9" i="9"/>
  <c r="N9" i="9"/>
  <c r="P9" i="9"/>
  <c r="Q9" i="9"/>
  <c r="R9" i="9"/>
  <c r="S9" i="9"/>
  <c r="T9" i="9"/>
  <c r="U9" i="9"/>
  <c r="A10" i="9"/>
  <c r="B10" i="9"/>
  <c r="D10" i="9"/>
  <c r="E10" i="9"/>
  <c r="F10" i="9"/>
  <c r="G10" i="9"/>
  <c r="H10" i="9"/>
  <c r="I10" i="9"/>
  <c r="J10" i="9"/>
  <c r="K10" i="9"/>
  <c r="L10" i="9"/>
  <c r="M10" i="9"/>
  <c r="N10" i="9"/>
  <c r="P10" i="9"/>
  <c r="Q10" i="9"/>
  <c r="R10" i="9"/>
  <c r="S10" i="9"/>
  <c r="T10" i="9"/>
  <c r="U10" i="9"/>
  <c r="A11" i="9"/>
  <c r="B11" i="9"/>
  <c r="D11" i="9"/>
  <c r="E11" i="9"/>
  <c r="F11" i="9"/>
  <c r="G11" i="9"/>
  <c r="H11" i="9"/>
  <c r="I11" i="9"/>
  <c r="J11" i="9"/>
  <c r="K11" i="9"/>
  <c r="L11" i="9"/>
  <c r="M11" i="9"/>
  <c r="N11" i="9"/>
  <c r="P11" i="9"/>
  <c r="Q11" i="9"/>
  <c r="R11" i="9"/>
  <c r="S11" i="9"/>
  <c r="T11" i="9"/>
  <c r="U11" i="9"/>
  <c r="A12" i="9"/>
  <c r="B12" i="9"/>
  <c r="D12" i="9"/>
  <c r="E12" i="9"/>
  <c r="F12" i="9"/>
  <c r="G12" i="9"/>
  <c r="H12" i="9"/>
  <c r="I12" i="9"/>
  <c r="J12" i="9"/>
  <c r="K12" i="9"/>
  <c r="L12" i="9"/>
  <c r="M12" i="9"/>
  <c r="N12" i="9"/>
  <c r="P12" i="9"/>
  <c r="Q12" i="9"/>
  <c r="R12" i="9"/>
  <c r="S12" i="9"/>
  <c r="T12" i="9"/>
  <c r="U12" i="9"/>
  <c r="A13" i="9"/>
  <c r="B13" i="9"/>
  <c r="D13" i="9"/>
  <c r="E13" i="9"/>
  <c r="F13" i="9"/>
  <c r="G13" i="9"/>
  <c r="H13" i="9"/>
  <c r="I13" i="9"/>
  <c r="J13" i="9"/>
  <c r="K13" i="9"/>
  <c r="L13" i="9"/>
  <c r="M13" i="9"/>
  <c r="N13" i="9"/>
  <c r="P13" i="9"/>
  <c r="Q13" i="9"/>
  <c r="R13" i="9"/>
  <c r="S13" i="9"/>
  <c r="T13" i="9"/>
  <c r="U13" i="9"/>
  <c r="A14" i="9"/>
  <c r="B14" i="9"/>
  <c r="D14" i="9"/>
  <c r="E14" i="9"/>
  <c r="F14" i="9"/>
  <c r="G14" i="9"/>
  <c r="H14" i="9"/>
  <c r="I14" i="9"/>
  <c r="J14" i="9"/>
  <c r="K14" i="9"/>
  <c r="L14" i="9"/>
  <c r="M14" i="9"/>
  <c r="N14" i="9"/>
  <c r="P14" i="9"/>
  <c r="Q14" i="9"/>
  <c r="R14" i="9"/>
  <c r="S14" i="9"/>
  <c r="T14" i="9"/>
  <c r="U14" i="9"/>
  <c r="A15" i="9"/>
  <c r="B15" i="9"/>
  <c r="D15" i="9"/>
  <c r="E15" i="9"/>
  <c r="F15" i="9"/>
  <c r="G15" i="9"/>
  <c r="H15" i="9"/>
  <c r="I15" i="9"/>
  <c r="J15" i="9"/>
  <c r="K15" i="9"/>
  <c r="L15" i="9"/>
  <c r="M15" i="9"/>
  <c r="N15" i="9"/>
  <c r="P15" i="9"/>
  <c r="Q15" i="9"/>
  <c r="R15" i="9"/>
  <c r="S15" i="9"/>
  <c r="T15" i="9"/>
  <c r="U15" i="9"/>
  <c r="A16" i="9"/>
  <c r="B16" i="9"/>
  <c r="D16" i="9"/>
  <c r="E16" i="9"/>
  <c r="F16" i="9"/>
  <c r="G16" i="9"/>
  <c r="H16" i="9"/>
  <c r="I16" i="9"/>
  <c r="J16" i="9"/>
  <c r="K16" i="9"/>
  <c r="L16" i="9"/>
  <c r="M16" i="9"/>
  <c r="N16" i="9"/>
  <c r="P16" i="9"/>
  <c r="Q16" i="9"/>
  <c r="R16" i="9"/>
  <c r="S16" i="9"/>
  <c r="T16" i="9"/>
  <c r="U16" i="9"/>
  <c r="A17" i="9"/>
  <c r="B17" i="9"/>
  <c r="D17" i="9"/>
  <c r="E17" i="9"/>
  <c r="F17" i="9"/>
  <c r="G17" i="9"/>
  <c r="H17" i="9"/>
  <c r="I17" i="9"/>
  <c r="J17" i="9"/>
  <c r="K17" i="9"/>
  <c r="L17" i="9"/>
  <c r="M17" i="9"/>
  <c r="N17" i="9"/>
  <c r="P17" i="9"/>
  <c r="Q17" i="9"/>
  <c r="R17" i="9"/>
  <c r="S17" i="9"/>
  <c r="T17" i="9"/>
  <c r="U17" i="9"/>
  <c r="A18" i="9"/>
  <c r="B18" i="9"/>
  <c r="D18" i="9"/>
  <c r="E18" i="9"/>
  <c r="F18" i="9"/>
  <c r="G18" i="9"/>
  <c r="H18" i="9"/>
  <c r="I18" i="9"/>
  <c r="J18" i="9"/>
  <c r="K18" i="9"/>
  <c r="L18" i="9"/>
  <c r="M18" i="9"/>
  <c r="N18" i="9"/>
  <c r="P18" i="9"/>
  <c r="Q18" i="9"/>
  <c r="R18" i="9"/>
  <c r="S18" i="9"/>
  <c r="T18" i="9"/>
  <c r="U18" i="9"/>
  <c r="A19" i="9"/>
  <c r="B19" i="9"/>
  <c r="D19" i="9"/>
  <c r="E19" i="9"/>
  <c r="F19" i="9"/>
  <c r="G19" i="9"/>
  <c r="H19" i="9"/>
  <c r="I19" i="9"/>
  <c r="J19" i="9"/>
  <c r="K19" i="9"/>
  <c r="L19" i="9"/>
  <c r="M19" i="9"/>
  <c r="N19" i="9"/>
  <c r="P19" i="9"/>
  <c r="Q19" i="9"/>
  <c r="R19" i="9"/>
  <c r="S19" i="9"/>
  <c r="T19" i="9"/>
  <c r="U19" i="9"/>
  <c r="A20" i="9"/>
  <c r="B20" i="9"/>
  <c r="D20" i="9"/>
  <c r="E20" i="9"/>
  <c r="F20" i="9"/>
  <c r="G20" i="9"/>
  <c r="H20" i="9"/>
  <c r="I20" i="9"/>
  <c r="J20" i="9"/>
  <c r="K20" i="9"/>
  <c r="L20" i="9"/>
  <c r="M20" i="9"/>
  <c r="N20" i="9"/>
  <c r="P20" i="9"/>
  <c r="Q20" i="9"/>
  <c r="R20" i="9"/>
  <c r="S20" i="9"/>
  <c r="T20" i="9"/>
  <c r="U20" i="9"/>
  <c r="A21" i="9"/>
  <c r="B21" i="9"/>
  <c r="D21" i="9"/>
  <c r="E21" i="9"/>
  <c r="F21" i="9"/>
  <c r="G21" i="9"/>
  <c r="H21" i="9"/>
  <c r="I21" i="9"/>
  <c r="J21" i="9"/>
  <c r="K21" i="9"/>
  <c r="L21" i="9"/>
  <c r="M21" i="9"/>
  <c r="N21" i="9"/>
  <c r="P21" i="9"/>
  <c r="Q21" i="9"/>
  <c r="R21" i="9"/>
  <c r="S21" i="9"/>
  <c r="T21" i="9"/>
  <c r="U21" i="9"/>
  <c r="A22" i="9"/>
  <c r="B22" i="9"/>
  <c r="D22" i="9"/>
  <c r="E22" i="9"/>
  <c r="F22" i="9"/>
  <c r="G22" i="9"/>
  <c r="H22" i="9"/>
  <c r="I22" i="9"/>
  <c r="J22" i="9"/>
  <c r="K22" i="9"/>
  <c r="L22" i="9"/>
  <c r="M22" i="9"/>
  <c r="N22" i="9"/>
  <c r="P22" i="9"/>
  <c r="Q22" i="9"/>
  <c r="R22" i="9"/>
  <c r="S22" i="9"/>
  <c r="T22" i="9"/>
  <c r="U22" i="9"/>
  <c r="U3" i="9"/>
  <c r="T3" i="9"/>
  <c r="S3" i="9"/>
  <c r="R3" i="9"/>
  <c r="Q3" i="9"/>
  <c r="P3" i="9"/>
  <c r="N3" i="9"/>
  <c r="M3" i="9"/>
  <c r="L3" i="9"/>
  <c r="I3" i="9"/>
  <c r="J3" i="9"/>
  <c r="K3" i="9"/>
  <c r="H3" i="9"/>
  <c r="F3" i="9"/>
  <c r="G3" i="9"/>
  <c r="E3" i="9"/>
  <c r="D3" i="9"/>
  <c r="B3" i="9"/>
  <c r="A3" i="9"/>
  <c r="A65" i="8" l="1"/>
  <c r="A64" i="8"/>
  <c r="A63" i="8"/>
  <c r="A62" i="8"/>
  <c r="A61" i="8"/>
  <c r="A60" i="8"/>
  <c r="A59" i="8"/>
  <c r="A58" i="8"/>
  <c r="A57" i="8"/>
  <c r="A56" i="8"/>
  <c r="A55" i="8"/>
  <c r="A54" i="8"/>
  <c r="A53" i="8"/>
  <c r="A52" i="8"/>
  <c r="A51" i="8"/>
  <c r="A50" i="8"/>
  <c r="A49" i="8"/>
  <c r="A48" i="8"/>
  <c r="A47" i="8"/>
  <c r="A46" i="8"/>
  <c r="A45" i="8"/>
  <c r="A44" i="8"/>
  <c r="A43" i="8"/>
  <c r="A72" i="8"/>
  <c r="A100" i="8"/>
  <c r="A99" i="8"/>
  <c r="A98" i="8"/>
  <c r="A94" i="8"/>
  <c r="A93" i="8"/>
  <c r="A92" i="8"/>
  <c r="A91" i="8"/>
  <c r="A90" i="8"/>
  <c r="A87" i="8"/>
  <c r="A86" i="8"/>
  <c r="A85" i="8"/>
  <c r="A84" i="8"/>
  <c r="A83" i="8"/>
  <c r="A82" i="8"/>
  <c r="A81" i="8"/>
  <c r="A111" i="8"/>
  <c r="A107" i="8"/>
  <c r="A106" i="8"/>
  <c r="A105" i="8"/>
  <c r="A104" i="8"/>
  <c r="A103" i="8"/>
  <c r="A102" i="8"/>
  <c r="A101" i="8"/>
  <c r="A71" i="8"/>
  <c r="A70" i="8"/>
  <c r="A7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43" i="8"/>
  <c r="A42" i="8"/>
  <c r="A39" i="8"/>
  <c r="A40" i="8"/>
  <c r="A41" i="8"/>
  <c r="A27" i="8"/>
  <c r="A28" i="8"/>
  <c r="A29" i="8"/>
  <c r="A30" i="8"/>
  <c r="A31" i="8"/>
  <c r="A32" i="8"/>
  <c r="A33" i="8"/>
  <c r="A34" i="8"/>
  <c r="A35" i="8"/>
  <c r="A36" i="8"/>
  <c r="A37" i="8"/>
  <c r="A38" i="8"/>
  <c r="A67" i="8"/>
  <c r="A68" i="8"/>
  <c r="A76" i="8"/>
  <c r="A77" i="8"/>
  <c r="A78" i="8"/>
  <c r="A79" i="8"/>
  <c r="A80" i="8"/>
  <c r="A88" i="8"/>
  <c r="A89" i="8"/>
  <c r="A95" i="8"/>
  <c r="A96" i="8"/>
  <c r="A97" i="8"/>
  <c r="A108" i="8"/>
  <c r="A109" i="8"/>
  <c r="A110" i="8"/>
  <c r="A9" i="8"/>
  <c r="A10" i="8"/>
  <c r="A11" i="8"/>
  <c r="A12" i="8"/>
  <c r="A13" i="8"/>
  <c r="A14" i="8"/>
  <c r="A15" i="8"/>
  <c r="A16" i="8"/>
  <c r="A17" i="8"/>
  <c r="A18" i="8"/>
  <c r="A19" i="8"/>
  <c r="A20" i="8"/>
  <c r="A21" i="8"/>
  <c r="A22" i="8"/>
  <c r="A23" i="8"/>
  <c r="A24" i="8"/>
  <c r="A25" i="8"/>
  <c r="A26" i="8"/>
  <c r="A66" i="8"/>
  <c r="A74" i="8"/>
  <c r="A75" i="8"/>
  <c r="A2" i="8"/>
  <c r="A3" i="8"/>
  <c r="A4" i="8"/>
  <c r="A5" i="8"/>
  <c r="A6" i="8"/>
  <c r="A7" i="8"/>
  <c r="A8" i="8"/>
  <c r="A69" i="8"/>
</calcChain>
</file>

<file path=xl/comments1.xml><?xml version="1.0" encoding="utf-8"?>
<comments xmlns="http://schemas.openxmlformats.org/spreadsheetml/2006/main">
  <authors>
    <author>Sivakumar Narayanappa</author>
  </authors>
  <commentList>
    <comment ref="K1" authorId="0">
      <text>
        <r>
          <rPr>
            <b/>
            <sz val="9"/>
            <color indexed="81"/>
            <rFont val="Tahoma"/>
            <family val="2"/>
          </rPr>
          <t>Macro supports upto 50 inputs from column L;</t>
        </r>
        <r>
          <rPr>
            <sz val="9"/>
            <color indexed="81"/>
            <rFont val="Tahoma"/>
            <family val="2"/>
          </rPr>
          <t xml:space="preserve">
Column L to BI</t>
        </r>
      </text>
    </comment>
    <comment ref="D2" authorId="0">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ref="L3" authorId="0">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<sst xmlns="http://schemas.openxmlformats.org/spreadsheetml/2006/main" count="1279" uniqueCount="205">
  <si>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</si>
  <si>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</si>
  <si>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</si>
  <si>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</si>
  <si>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</si>
  <si>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</si>
  <si>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</si>
  <si>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</si>
  <si>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</si>
  <si>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</si>
  <si>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</si>
  <si>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</si>
  <si>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</si>
  <si>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</si>
  <si>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</si>
  <si>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</si>
  <si>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</si>
  <si>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</si>
  <si>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</si>
  <si>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</si>
  <si>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</si>
  <si>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</si>
  <si>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</si>
  <si>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</si>
  <si>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</si>
  <si>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</si>
  <si>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</si>
  <si>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</si>
  <si>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</si>
  <si>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</si>
  <si>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</si>
  <si>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</si>
  <si>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</si>
  <si>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</si>
  <si>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</si>
  <si>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</si>
  <si>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</si>
  <si>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</si>
  <si>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</si>
  <si>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</si>
  <si>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</si>
  <si>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</si>
  <si>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</si>
  <si>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</si>
  <si>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</si>
  <si>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</si>
  <si>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</si>
  <si>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</si>
  <si>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</si>
  <si>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</si>
  <si>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</si>
  <si>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</si>
  <si>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</si>
  <si>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</si>
  <si>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</si>
  <si>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</si>
  <si>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</si>
  <si>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</si>
  <si>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</si>
  <si>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</si>
  <si>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</si>
  <si>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</si>
  <si>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</si>
  <si>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</si>
  <si>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</si>
  <si>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</si>
  <si>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</si>
  <si>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</si>
  <si>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</si>
  <si>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</si>
  <si>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</si>
  <si>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</si>
  <si>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</si>
  <si>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</si>
  <si>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</si>
  <si>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</si>
  <si>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</si>
  <si>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</si>
  <si>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</si>
  <si>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</si>
  <si>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</si>
  <si>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</si>
  <si>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</si>
  <si>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</si>
  <si>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</si>
  <si>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003</t>
  </si>
  <si>
    <t>1076</t>
  </si>
  <si>
    <t>1077</t>
  </si>
  <si>
    <t>001</t>
  </si>
  <si>
    <t>002</t>
  </si>
  <si>
    <t>004</t>
  </si>
  <si>
    <t>BM</t>
  </si>
  <si>
    <t>1</t>
  </si>
  <si>
    <t>00</t>
  </si>
  <si>
    <t>02</t>
  </si>
  <si>
    <t>***</t>
  </si>
  <si>
    <t>0</t>
  </si>
  <si>
    <t>BQ</t>
  </si>
  <si>
    <t>00000000</t>
  </si>
  <si>
    <t>00100000</t>
  </si>
  <si>
    <t>2</t>
  </si>
  <si>
    <t>5</t>
  </si>
  <si>
    <t>RECORD_TYPE_CODE</t>
  </si>
  <si>
    <t>[</t>
  </si>
  <si>
    <t>ETC_TRX_TYPE</t>
  </si>
  <si>
    <t>ETC_ENTRY_DATE</t>
  </si>
  <si>
    <t>ETC_ENTRY_TIME</t>
  </si>
  <si>
    <t>******</t>
  </si>
  <si>
    <t>ETC_ENTRY_PLAZA_ID</t>
  </si>
  <si>
    <t>ETC_ENTRY_LANE_ID</t>
  </si>
  <si>
    <t>ETC_ENTRY_DATA_SOURCE</t>
  </si>
  <si>
    <t>ETC_APP_ID</t>
  </si>
  <si>
    <t>ETC_TYPE</t>
  </si>
  <si>
    <t>*</t>
  </si>
  <si>
    <t>ETC_GROUP_ID</t>
  </si>
  <si>
    <t>ETC_TAG_SERIAL_NUMBER</t>
  </si>
  <si>
    <t>ETC_SERIAL_NUMBER</t>
  </si>
  <si>
    <t>ETC_READ_PERFORMANCE</t>
  </si>
  <si>
    <t>ETC_LANE_MODE</t>
  </si>
  <si>
    <t>ETC_COLLECTOR_ID</t>
  </si>
  <si>
    <t>00000</t>
  </si>
  <si>
    <t>ETC_DERIVED_VEH_CLASS</t>
  </si>
  <si>
    <t>ETC_READ_VEH_TYPE</t>
  </si>
  <si>
    <t>ETC_READ_VEH_AXLES</t>
  </si>
  <si>
    <t>ETC_READ_VEH_WEIGHT</t>
  </si>
  <si>
    <t>ETC_READ_REAR_TIRES</t>
  </si>
  <si>
    <t>ETC_VEH_TYPE</t>
  </si>
  <si>
    <t>ETC_VEH_AXLES</t>
  </si>
  <si>
    <t>ETC_VEH_WEIGHT</t>
  </si>
  <si>
    <t>ETC_REAR_TIRES</t>
  </si>
  <si>
    <t>ETC_IND_VEH_CLASS</t>
  </si>
  <si>
    <t>**</t>
  </si>
  <si>
    <t>ETC_VALIDATION_STATUS</t>
  </si>
  <si>
    <t>ETC_VIOL_OBSERVED</t>
  </si>
  <si>
    <t>ETC_IMAGE_CAPTURED</t>
  </si>
  <si>
    <t>ETC_REVENUE_TYPE</t>
  </si>
  <si>
    <t>ETC_READ_AGENCY_DATA</t>
  </si>
  <si>
    <t>ETC_WRIT_AGENCY_DATA</t>
  </si>
  <si>
    <t>00000000000</t>
  </si>
  <si>
    <t>ETC_PRE_WRIT_TRX_NUM</t>
  </si>
  <si>
    <t>ETC_POST_WRIT_TRX_NUM</t>
  </si>
  <si>
    <t>ETC_IND_AXLE_OFFSET</t>
  </si>
  <si>
    <t>+0</t>
  </si>
  <si>
    <t>ETC_IND_VEH_AXLES</t>
  </si>
  <si>
    <t>ETC_VEH_SPEED</t>
  </si>
  <si>
    <t>50</t>
  </si>
  <si>
    <t>ETC_EXIT_DATETIME</t>
  </si>
  <si>
    <t>ETC_EXIT_PLAZA_ID</t>
  </si>
  <si>
    <t>ETC_EXIT_LANE_ID</t>
  </si>
  <si>
    <t>ETC_BUFFERED_FEED</t>
  </si>
  <si>
    <t>ETC_TOLL_AMOUNT</t>
  </si>
  <si>
    <t>ETC_FULL_FARE</t>
  </si>
  <si>
    <t>00010</t>
  </si>
  <si>
    <t>ETC_REF_TXN_NUM</t>
  </si>
  <si>
    <t>*****</t>
  </si>
  <si>
    <t>ETC_DST_FLAG</t>
  </si>
  <si>
    <t>ETC_TICK_FIELD</t>
  </si>
  <si>
    <t>ETC_RECORD_TERM</t>
  </si>
  <si>
    <t>]</t>
  </si>
  <si>
    <t>YYYYMMDDHHMMSS</t>
  </si>
  <si>
    <t>***********</t>
  </si>
  <si>
    <t>NHL</t>
  </si>
  <si>
    <t>01W</t>
  </si>
  <si>
    <t>0000000764510069</t>
  </si>
  <si>
    <t>20180525</t>
  </si>
  <si>
    <t>20180525000000</t>
  </si>
  <si>
    <t>20180525003000</t>
  </si>
  <si>
    <t>0000000764510070</t>
  </si>
  <si>
    <t>20180525010000</t>
  </si>
  <si>
    <t>0000000764510071</t>
  </si>
  <si>
    <t>20180525013000</t>
  </si>
  <si>
    <t>0000000764510072</t>
  </si>
  <si>
    <t>20180525020000</t>
  </si>
  <si>
    <t>0000000764510073</t>
  </si>
  <si>
    <t>20180525023000</t>
  </si>
  <si>
    <t>0000000764510074</t>
  </si>
  <si>
    <t>20180525030000</t>
  </si>
  <si>
    <t>0000000764510075</t>
  </si>
  <si>
    <t>20180525033000</t>
  </si>
  <si>
    <t>0000000764510076</t>
  </si>
  <si>
    <t>20180525040000</t>
  </si>
  <si>
    <t>0000000764510077</t>
  </si>
  <si>
    <t>20180525043000</t>
  </si>
  <si>
    <t>0000000764510078</t>
  </si>
  <si>
    <t>20180525050000</t>
  </si>
  <si>
    <t>0000000764510079</t>
  </si>
  <si>
    <t>20180525053000</t>
  </si>
  <si>
    <t>0000000764510080</t>
  </si>
  <si>
    <t>20180525060000</t>
  </si>
  <si>
    <t>0000000764510081</t>
  </si>
  <si>
    <t>20180525063000</t>
  </si>
  <si>
    <t>0000000764510082</t>
  </si>
  <si>
    <t>20180525070000</t>
  </si>
  <si>
    <t>0000000764510083</t>
  </si>
  <si>
    <t>20180525073000</t>
  </si>
  <si>
    <t>0000000764510084</t>
  </si>
  <si>
    <t>20180525080000</t>
  </si>
  <si>
    <t>0000000764510085</t>
  </si>
  <si>
    <t>20180525083000</t>
  </si>
  <si>
    <t>0000000764510086</t>
  </si>
  <si>
    <t>20180525090000</t>
  </si>
  <si>
    <t>0000000764510087</t>
  </si>
  <si>
    <t>20180525093000</t>
  </si>
  <si>
    <t>0000000764510088</t>
  </si>
  <si>
    <t>20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</si>
</sst>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8" x14ac:knownFonts="1">
    <font>
      <sz val="11"/>
      <color theme="1"/>
      <name val="Calibri"/>
      <family val="2"/>
      <scheme val="minor"/>
    </font>
    <font>
      <sz val="11"/>
      <color rgb="FF000000"/>
      <name val="Calibri"/>
      <family val="2"/>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b/>
      <sz val="8"/>
      <color theme="1"/>
      <name val="Calibri"/>
      <family val="2"/>
      <scheme val="minor"/>
    </font>
    <font>
      <sz val="11"/>
      <name val="Calibri"/>
      <family val="2"/>
      <scheme val="minor"/>
    </font>
  </fonts>
  <fills count="7">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s>
  <cellStyleXfs count="1">
    <xf numFmtId="0" fontId="0" fillId="0" borderId="0"/>
  </cellStyleXfs>
  <cellXfs count="50">
    <xf numFmtId="0" fontId="0" fillId="0" borderId="0" xfId="0"/>
    <xf numFmtId="0" fontId="0" fillId="0" borderId="0" xfId="0" quotePrefix="1"/>
    <xf numFmtId="0" fontId="0" fillId="0" borderId="0" xfId="0" applyAlignment="1">
      <alignment horizontal="left"/>
    </xf>
    <xf numFmtId="0" fontId="0" fillId="0" borderId="0" xfId="0" applyAlignment="1">
      <alignment horizontal="center"/>
    </xf>
    <xf numFmtId="0" fontId="0" fillId="0" borderId="0" xfId="0" quotePrefix="1" applyAlignment="1">
      <alignment horizontal="center"/>
    </xf>
    <xf numFmtId="0" fontId="0" fillId="0" borderId="0" xfId="0" applyBorder="1" applyAlignment="1">
      <alignment horizontal="left"/>
    </xf>
    <xf numFmtId="0" fontId="0" fillId="0" borderId="0" xfId="0" applyBorder="1" applyAlignment="1">
      <alignment horizontal="center"/>
    </xf>
    <xf numFmtId="0" fontId="0" fillId="2" borderId="1" xfId="0" applyFill="1" applyBorder="1" applyAlignment="1">
      <alignment horizontal="center"/>
    </xf>
    <xf numFmtId="0" fontId="0" fillId="2" borderId="1" xfId="0" applyFill="1" applyBorder="1"/>
    <xf numFmtId="0" fontId="0" fillId="2" borderId="1" xfId="0" applyFill="1" applyBorder="1" applyAlignment="1">
      <alignment horizontal="left"/>
    </xf>
    <xf numFmtId="0" fontId="0" fillId="2" borderId="1" xfId="0" applyFill="1" applyBorder="1" applyAlignment="1">
      <alignment horizontal="center"/>
    </xf>
    <xf numFmtId="0" fontId="0" fillId="2" borderId="1" xfId="0" applyFill="1" applyBorder="1" applyAlignment="1">
      <alignment horizontal="left" wrapText="1"/>
    </xf>
    <xf numFmtId="0" fontId="0" fillId="3" borderId="1" xfId="0" applyFill="1" applyBorder="1" applyAlignment="1">
      <alignment horizontal="left"/>
    </xf>
    <xf numFmtId="0" fontId="0" fillId="3" borderId="1" xfId="0" applyFill="1" applyBorder="1" applyAlignment="1">
      <alignment horizontal="center"/>
    </xf>
    <xf numFmtId="0" fontId="0" fillId="3" borderId="1" xfId="0" applyFill="1" applyBorder="1" applyAlignment="1"/>
    <xf numFmtId="1" fontId="0" fillId="3" borderId="1" xfId="0" quotePrefix="1" applyNumberFormat="1" applyFill="1" applyBorder="1" applyAlignment="1">
      <alignment horizontal="center"/>
    </xf>
    <xf numFmtId="49" fontId="0" fillId="3" borderId="1" xfId="0" applyNumberFormat="1" applyFill="1" applyBorder="1" applyAlignment="1">
      <alignment horizontal="center"/>
    </xf>
    <xf numFmtId="0" fontId="0" fillId="3" borderId="1" xfId="0" quotePrefix="1" applyFill="1" applyBorder="1" applyAlignment="1">
      <alignment horizontal="left"/>
    </xf>
    <xf numFmtId="0" fontId="0" fillId="4" borderId="1" xfId="0" quotePrefix="1" applyFill="1" applyBorder="1" applyAlignment="1">
      <alignment horizontal="center"/>
    </xf>
    <xf numFmtId="0" fontId="0" fillId="4" borderId="0" xfId="0" applyFill="1"/>
    <xf numFmtId="0" fontId="0" fillId="2" borderId="1" xfId="0" applyFill="1" applyBorder="1" applyAlignment="1">
      <alignment horizontal="center"/>
    </xf>
    <xf numFmtId="0" fontId="0" fillId="4" borderId="4" xfId="0" quotePrefix="1" applyFill="1" applyBorder="1" applyAlignment="1">
      <alignment horizontal="center"/>
    </xf>
    <xf numFmtId="0" fontId="4" fillId="3" borderId="1" xfId="0" applyFont="1" applyFill="1" applyBorder="1" applyAlignment="1">
      <alignment horizontal="center"/>
    </xf>
    <xf numFmtId="49" fontId="0" fillId="0" borderId="1" xfId="0" quotePrefix="1" applyNumberFormat="1" applyBorder="1" applyAlignment="1">
      <alignment horizontal="left"/>
    </xf>
    <xf numFmtId="0" fontId="0" fillId="0" borderId="1" xfId="0" quotePrefix="1" applyBorder="1"/>
    <xf numFmtId="6" fontId="0" fillId="0" borderId="0" xfId="0" quotePrefix="1" applyNumberFormat="1"/>
    <xf numFmtId="0" fontId="0" fillId="0" borderId="0" xfId="0" quotePrefix="1" applyAlignment="1">
      <alignment wrapText="1"/>
    </xf>
    <xf numFmtId="0" fontId="0" fillId="0" borderId="0" xfId="0" applyAlignment="1">
      <alignment wrapText="1"/>
    </xf>
    <xf numFmtId="0" fontId="0" fillId="2" borderId="1" xfId="0" applyFill="1" applyBorder="1" applyAlignment="1">
      <alignment horizontal="center"/>
    </xf>
    <xf numFmtId="0" fontId="0" fillId="2" borderId="1" xfId="0" applyFill="1" applyBorder="1" applyAlignment="1">
      <alignment horizontal="center"/>
    </xf>
    <xf numFmtId="0" fontId="0" fillId="3" borderId="1" xfId="0" quotePrefix="1" applyFill="1" applyBorder="1" applyAlignment="1">
      <alignment horizontal="center"/>
    </xf>
    <xf numFmtId="0" fontId="5" fillId="0" borderId="1" xfId="0" applyFont="1" applyBorder="1"/>
    <xf numFmtId="0" fontId="5" fillId="0" borderId="1" xfId="0" applyFont="1" applyBorder="1" applyAlignment="1">
      <alignment horizontal="left"/>
    </xf>
    <xf numFmtId="0" fontId="0" fillId="0" borderId="1" xfId="0" applyBorder="1" applyAlignment="1">
      <alignment horizontal="left"/>
    </xf>
    <xf numFmtId="0" fontId="0" fillId="0" borderId="1" xfId="0" applyBorder="1"/>
    <xf numFmtId="14" fontId="0" fillId="0" borderId="1" xfId="0" applyNumberFormat="1" applyBorder="1" applyAlignment="1">
      <alignment horizontal="left"/>
    </xf>
    <xf numFmtId="0" fontId="1" fillId="0" borderId="5" xfId="0" applyFont="1" applyBorder="1" applyAlignment="1">
      <alignment horizontal="right" vertical="center"/>
    </xf>
    <xf numFmtId="0" fontId="1" fillId="5" borderId="5" xfId="0" applyFont="1" applyFill="1" applyBorder="1" applyAlignment="1">
      <alignment horizontal="center" vertical="center"/>
    </xf>
    <xf numFmtId="0" fontId="1" fillId="6" borderId="5" xfId="0" applyFont="1" applyFill="1" applyBorder="1" applyAlignment="1">
      <alignment horizontal="center" vertical="center"/>
    </xf>
    <xf numFmtId="14" fontId="0" fillId="0" borderId="0" xfId="0" applyNumberFormat="1"/>
    <xf numFmtId="0" fontId="0" fillId="0" borderId="0" xfId="0" quotePrefix="1" applyAlignment="1">
      <alignment horizontal="left"/>
    </xf>
    <xf numFmtId="0" fontId="6" fillId="3" borderId="1" xfId="0" applyFont="1" applyFill="1" applyBorder="1" applyAlignment="1">
      <alignment horizontal="center"/>
    </xf>
    <xf numFmtId="0" fontId="0" fillId="4" borderId="1" xfId="0" applyFill="1" applyBorder="1"/>
    <xf numFmtId="14" fontId="0" fillId="0" borderId="0" xfId="0" quotePrefix="1" applyNumberFormat="1"/>
    <xf numFmtId="2" fontId="0" fillId="0" borderId="0" xfId="0" quotePrefix="1" applyNumberFormat="1"/>
    <xf numFmtId="0" fontId="0" fillId="4" borderId="1" xfId="0" quotePrefix="1" applyFill="1" applyBorder="1" applyAlignment="1">
      <alignment horizontal="center" wrapText="1"/>
    </xf>
    <xf numFmtId="0" fontId="7" fillId="4" borderId="1" xfId="0" quotePrefix="1" applyFont="1" applyFill="1" applyBorder="1" applyAlignment="1">
      <alignment horizontal="center"/>
    </xf>
    <xf numFmtId="0" fontId="0" fillId="2" borderId="1"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D25"/>
  <sheetViews>
    <sheetView workbookViewId="0">
      <selection activeCell="D11" sqref="D11"/>
    </sheetView>
  </sheetViews>
  <sheetFormatPr defaultRowHeight="15" x14ac:dyDescent="0.25"/>
  <cols>
    <col min="2" max="2" width="13.7109375" style="2" customWidth="1"/>
    <col min="3" max="3" width="12.42578125" customWidth="1"/>
    <col min="4" max="4" width="119.42578125" customWidth="1"/>
  </cols>
  <sheetData>
    <row r="2" spans="1:4" x14ac:dyDescent="0.25">
      <c r="A2" s="31" t="s">
        <v>66</v>
      </c>
      <c r="B2" s="32" t="s">
        <v>67</v>
      </c>
      <c r="C2" s="31" t="s">
        <v>68</v>
      </c>
      <c r="D2" s="31" t="s">
        <v>69</v>
      </c>
    </row>
    <row r="3" spans="1:4" x14ac:dyDescent="0.25">
      <c r="A3" s="24" t="s">
        <v>70</v>
      </c>
      <c r="B3" s="35">
        <v>41686</v>
      </c>
      <c r="C3" s="34" t="s">
        <v>71</v>
      </c>
      <c r="D3" s="34" t="s">
        <v>72</v>
      </c>
    </row>
    <row r="4" spans="1:4" x14ac:dyDescent="0.25">
      <c r="A4" s="24" t="s">
        <v>73</v>
      </c>
      <c r="B4" s="35">
        <v>41785</v>
      </c>
      <c r="C4" s="34" t="s">
        <v>71</v>
      </c>
      <c r="D4" s="34" t="s">
        <v>74</v>
      </c>
    </row>
    <row r="5" spans="1:4" x14ac:dyDescent="0.25">
      <c r="A5" s="24" t="s">
        <v>81</v>
      </c>
      <c r="B5" s="35">
        <v>41787</v>
      </c>
      <c r="C5" s="34" t="s">
        <v>71</v>
      </c>
      <c r="D5" s="34" t="s">
        <v>82</v>
      </c>
    </row>
    <row r="6" spans="1:4" x14ac:dyDescent="0.25">
      <c r="A6" s="24" t="s">
        <v>83</v>
      </c>
      <c r="B6" s="35">
        <v>41794</v>
      </c>
      <c r="C6" s="34" t="s">
        <v>71</v>
      </c>
      <c r="D6" s="34" t="s">
        <v>84</v>
      </c>
    </row>
    <row r="7" spans="1:4" x14ac:dyDescent="0.25">
      <c r="A7" s="34"/>
      <c r="B7" s="33"/>
      <c r="C7" s="34"/>
      <c r="D7" s="34"/>
    </row>
    <row r="8" spans="1:4" x14ac:dyDescent="0.25">
      <c r="A8" s="34"/>
      <c r="B8" s="33"/>
      <c r="C8" s="34"/>
      <c r="D8" s="34"/>
    </row>
    <row r="9" spans="1:4" x14ac:dyDescent="0.25">
      <c r="A9" s="34"/>
      <c r="B9" s="33"/>
      <c r="C9" s="34"/>
      <c r="D9" s="34"/>
    </row>
    <row r="10" spans="1:4" x14ac:dyDescent="0.25">
      <c r="A10" s="34"/>
      <c r="B10" s="33"/>
      <c r="C10" s="34"/>
      <c r="D10" s="34"/>
    </row>
    <row r="11" spans="1:4" x14ac:dyDescent="0.25">
      <c r="A11" s="34"/>
      <c r="B11" s="33"/>
      <c r="C11" s="34"/>
      <c r="D11" s="34"/>
    </row>
    <row r="12" spans="1:4" x14ac:dyDescent="0.25">
      <c r="A12" s="34"/>
      <c r="B12" s="33"/>
      <c r="C12" s="34"/>
      <c r="D12" s="34"/>
    </row>
    <row r="13" spans="1:4" x14ac:dyDescent="0.25">
      <c r="A13" s="34"/>
      <c r="B13" s="33"/>
      <c r="C13" s="34"/>
      <c r="D13" s="34"/>
    </row>
    <row r="14" spans="1:4" x14ac:dyDescent="0.25">
      <c r="A14" s="34"/>
      <c r="B14" s="33"/>
      <c r="C14" s="34"/>
      <c r="D14" s="34"/>
    </row>
    <row r="15" spans="1:4" x14ac:dyDescent="0.25">
      <c r="A15" s="34"/>
      <c r="B15" s="33"/>
      <c r="C15" s="34"/>
      <c r="D15" s="34"/>
    </row>
    <row r="16" spans="1:4" x14ac:dyDescent="0.25">
      <c r="A16" s="34"/>
      <c r="B16" s="33"/>
      <c r="C16" s="34"/>
      <c r="D16" s="34"/>
    </row>
    <row r="17" spans="1:4" x14ac:dyDescent="0.25">
      <c r="A17" s="34"/>
      <c r="B17" s="33"/>
      <c r="C17" s="34"/>
      <c r="D17" s="34"/>
    </row>
    <row r="18" spans="1:4" x14ac:dyDescent="0.25">
      <c r="A18" s="34"/>
      <c r="B18" s="33"/>
      <c r="C18" s="34"/>
      <c r="D18" s="34"/>
    </row>
    <row r="19" spans="1:4" x14ac:dyDescent="0.25">
      <c r="A19" s="34"/>
      <c r="B19" s="33"/>
      <c r="C19" s="34"/>
      <c r="D19" s="34"/>
    </row>
    <row r="20" spans="1:4" x14ac:dyDescent="0.25">
      <c r="A20" s="34"/>
      <c r="B20" s="33"/>
      <c r="C20" s="34"/>
      <c r="D20" s="34"/>
    </row>
    <row r="21" spans="1:4" x14ac:dyDescent="0.25">
      <c r="A21" s="34"/>
      <c r="B21" s="33"/>
      <c r="C21" s="34"/>
      <c r="D21" s="34"/>
    </row>
    <row r="22" spans="1:4" x14ac:dyDescent="0.25">
      <c r="A22" s="34"/>
      <c r="B22" s="33"/>
      <c r="C22" s="34"/>
      <c r="D22" s="34"/>
    </row>
    <row r="23" spans="1:4" x14ac:dyDescent="0.25">
      <c r="A23" s="34"/>
      <c r="B23" s="33"/>
      <c r="C23" s="34"/>
      <c r="D23" s="34"/>
    </row>
    <row r="24" spans="1:4" x14ac:dyDescent="0.25">
      <c r="A24" s="34"/>
      <c r="B24" s="33"/>
      <c r="C24" s="34"/>
      <c r="D24" s="34"/>
    </row>
    <row r="25" spans="1:4" x14ac:dyDescent="0.25">
      <c r="A25" s="34"/>
      <c r="B25" s="33"/>
      <c r="C25" s="34"/>
      <c r="D25" s="3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67"/>
  <sheetViews>
    <sheetView workbookViewId="0">
      <selection activeCell="B5" sqref="B5"/>
    </sheetView>
  </sheetViews>
  <sheetFormatPr defaultRowHeight="15" x14ac:dyDescent="0.25"/>
  <cols>
    <col min="1" max="1" width="3.5703125" customWidth="1"/>
    <col min="2" max="2" width="181.140625" style="27" customWidth="1"/>
  </cols>
  <sheetData>
    <row r="1" spans="1:27" ht="30" x14ac:dyDescent="0.25">
      <c r="A1" s="1"/>
      <c r="B1" s="27" t="s">
        <v>57</v>
      </c>
      <c r="C1" s="1"/>
      <c r="I1" s="1"/>
      <c r="J1" s="1"/>
      <c r="R1" s="1"/>
      <c r="S1" s="1"/>
      <c r="T1" s="1"/>
      <c r="V1" s="1"/>
      <c r="W1" s="1"/>
      <c r="X1" s="1"/>
      <c r="Y1" s="1"/>
      <c r="AA1" s="1"/>
    </row>
    <row r="2" spans="1:27" ht="30" x14ac:dyDescent="0.25">
      <c r="A2" s="1"/>
      <c r="B2" s="27" t="s">
        <v>58</v>
      </c>
      <c r="C2" s="1"/>
      <c r="I2" s="1"/>
      <c r="J2" s="1"/>
      <c r="R2" s="1"/>
      <c r="S2" s="1"/>
      <c r="T2" s="1"/>
      <c r="V2" s="1"/>
      <c r="W2" s="1"/>
      <c r="X2" s="1"/>
      <c r="Y2" s="1"/>
      <c r="AA2" s="1"/>
    </row>
    <row r="3" spans="1:27" ht="45" x14ac:dyDescent="0.25">
      <c r="A3" s="1"/>
      <c r="B3" s="27" t="s">
        <v>63</v>
      </c>
      <c r="C3" s="1"/>
      <c r="I3" s="1"/>
      <c r="J3" s="1"/>
      <c r="R3" s="1"/>
      <c r="S3" s="1"/>
      <c r="T3" s="1"/>
      <c r="V3" s="1"/>
      <c r="W3" s="1"/>
      <c r="X3" s="1"/>
      <c r="Y3" s="1"/>
      <c r="AA3" s="1"/>
    </row>
    <row r="4" spans="1:27" ht="17.25" customHeight="1" x14ac:dyDescent="0.25">
      <c r="A4" s="1"/>
      <c r="B4" s="26" t="s">
        <v>64</v>
      </c>
      <c r="C4" s="1"/>
      <c r="I4" s="1"/>
      <c r="J4" s="1"/>
      <c r="R4" s="1"/>
      <c r="S4" s="1"/>
      <c r="T4" s="1"/>
      <c r="V4" s="1"/>
      <c r="W4" s="1"/>
      <c r="X4" s="1"/>
      <c r="Y4" s="1"/>
      <c r="AA4" s="1"/>
    </row>
    <row r="5" spans="1:27" ht="165" x14ac:dyDescent="0.25">
      <c r="A5" s="1"/>
      <c r="B5" s="26" t="s">
        <v>65</v>
      </c>
      <c r="C5" s="1"/>
      <c r="I5" s="1"/>
      <c r="J5" s="1"/>
      <c r="R5" s="1"/>
      <c r="S5" s="1"/>
      <c r="T5" s="1"/>
      <c r="V5" s="1"/>
      <c r="W5" s="1"/>
      <c r="X5" s="1"/>
      <c r="Y5" s="1"/>
      <c r="AA5" s="1"/>
    </row>
    <row r="6" spans="1:27" x14ac:dyDescent="0.25">
      <c r="A6" s="1"/>
      <c r="B6" s="26"/>
      <c r="C6" s="1"/>
      <c r="I6" s="1"/>
      <c r="J6" s="1"/>
      <c r="R6" s="1"/>
      <c r="S6" s="1"/>
      <c r="T6" s="1"/>
      <c r="V6" s="1"/>
      <c r="W6" s="1"/>
      <c r="X6" s="1"/>
      <c r="Y6" s="1"/>
      <c r="AA6" s="1"/>
    </row>
    <row r="7" spans="1:27" x14ac:dyDescent="0.25">
      <c r="A7" s="1"/>
      <c r="B7" s="26"/>
      <c r="C7" s="1"/>
      <c r="I7" s="1"/>
      <c r="J7" s="1"/>
      <c r="R7" s="1"/>
      <c r="S7" s="1"/>
      <c r="T7" s="1"/>
      <c r="V7" s="1"/>
      <c r="W7" s="1"/>
      <c r="X7" s="1"/>
      <c r="Y7" s="1"/>
      <c r="AA7" s="1"/>
    </row>
    <row r="8" spans="1:27" x14ac:dyDescent="0.25">
      <c r="A8" s="1"/>
      <c r="B8" s="26"/>
      <c r="C8" s="1"/>
      <c r="I8" s="1"/>
      <c r="J8" s="1"/>
      <c r="R8" s="1"/>
      <c r="S8" s="1"/>
      <c r="T8" s="1"/>
      <c r="V8" s="1"/>
      <c r="W8" s="1"/>
      <c r="X8" s="1"/>
      <c r="Y8" s="1"/>
      <c r="AA8" s="1"/>
    </row>
    <row r="9" spans="1:27" x14ac:dyDescent="0.25">
      <c r="A9" s="1"/>
      <c r="B9" s="26"/>
      <c r="C9" s="1"/>
      <c r="I9" s="1"/>
      <c r="J9" s="1"/>
      <c r="R9" s="1"/>
      <c r="S9" s="1"/>
      <c r="T9" s="1"/>
      <c r="V9" s="1"/>
      <c r="W9" s="1"/>
      <c r="X9" s="1"/>
      <c r="Y9" s="1"/>
      <c r="AA9" s="1"/>
    </row>
    <row r="10" spans="1:27" x14ac:dyDescent="0.25">
      <c r="A10" s="1"/>
      <c r="B10" s="26"/>
      <c r="C10" s="1"/>
      <c r="I10" s="1"/>
      <c r="J10" s="1"/>
      <c r="R10" s="1"/>
      <c r="S10" s="1"/>
      <c r="T10" s="1"/>
      <c r="V10" s="1"/>
      <c r="W10" s="1"/>
      <c r="X10" s="1"/>
      <c r="Y10" s="1"/>
      <c r="AA10" s="1"/>
    </row>
    <row r="11" spans="1:27" x14ac:dyDescent="0.25">
      <c r="A11" s="1"/>
      <c r="B11" s="26"/>
      <c r="C11" s="1"/>
      <c r="I11" s="1"/>
      <c r="J11" s="1"/>
      <c r="R11" s="1"/>
      <c r="S11" s="1"/>
      <c r="T11" s="1"/>
      <c r="V11" s="1"/>
      <c r="W11" s="1"/>
      <c r="X11" s="1"/>
      <c r="Y11" s="1"/>
      <c r="AA11" s="1"/>
    </row>
    <row r="12" spans="1:27" x14ac:dyDescent="0.25">
      <c r="A12" s="1"/>
      <c r="B12" s="26"/>
      <c r="C12" s="1"/>
      <c r="I12" s="1"/>
      <c r="J12" s="1"/>
      <c r="R12" s="1"/>
      <c r="S12" s="1"/>
      <c r="T12" s="1"/>
      <c r="V12" s="1"/>
      <c r="W12" s="1"/>
      <c r="X12" s="1"/>
      <c r="Y12" s="1"/>
      <c r="AA12" s="1"/>
    </row>
    <row r="13" spans="1:27" x14ac:dyDescent="0.25">
      <c r="A13" s="1"/>
      <c r="B13" s="26"/>
      <c r="C13" s="1"/>
      <c r="I13" s="1"/>
      <c r="J13" s="1"/>
      <c r="R13" s="1"/>
      <c r="S13" s="1"/>
      <c r="T13" s="1"/>
      <c r="V13" s="1"/>
      <c r="W13" s="1"/>
      <c r="X13" s="1"/>
      <c r="Y13" s="1"/>
      <c r="AA13" s="1"/>
    </row>
    <row r="14" spans="1:27" x14ac:dyDescent="0.25">
      <c r="A14" s="1"/>
      <c r="B14" s="26"/>
      <c r="C14" s="1"/>
      <c r="I14" s="1"/>
      <c r="J14" s="1"/>
      <c r="R14" s="1"/>
      <c r="S14" s="1"/>
      <c r="T14" s="1"/>
      <c r="V14" s="1"/>
      <c r="W14" s="1"/>
      <c r="X14" s="1"/>
      <c r="Y14" s="1"/>
      <c r="AA14" s="1"/>
    </row>
    <row r="15" spans="1:27" x14ac:dyDescent="0.25">
      <c r="A15" s="1"/>
      <c r="B15" s="26"/>
      <c r="C15" s="1"/>
      <c r="I15" s="1"/>
      <c r="J15" s="1"/>
      <c r="R15" s="1"/>
      <c r="S15" s="1"/>
      <c r="T15" s="1"/>
      <c r="V15" s="1"/>
      <c r="W15" s="1"/>
      <c r="X15" s="1"/>
      <c r="Y15" s="1"/>
      <c r="AA15" s="1"/>
    </row>
    <row r="16" spans="1:27" x14ac:dyDescent="0.25">
      <c r="A16" s="1"/>
      <c r="B16" s="26"/>
      <c r="C16" s="1"/>
      <c r="I16" s="1"/>
      <c r="J16" s="1"/>
      <c r="R16" s="1"/>
      <c r="S16" s="1"/>
      <c r="T16" s="1"/>
      <c r="V16" s="1"/>
      <c r="W16" s="1"/>
      <c r="X16" s="1"/>
      <c r="Y16" s="1"/>
      <c r="AA16" s="1"/>
    </row>
    <row r="17" spans="1:27" x14ac:dyDescent="0.25">
      <c r="A17" s="1"/>
      <c r="B17" s="26"/>
      <c r="C17" s="1"/>
      <c r="I17" s="1"/>
      <c r="J17" s="1"/>
      <c r="R17" s="1"/>
      <c r="S17" s="1"/>
      <c r="T17" s="1"/>
      <c r="V17" s="1"/>
      <c r="W17" s="1"/>
      <c r="X17" s="1"/>
      <c r="Y17" s="1"/>
      <c r="AA17" s="1"/>
    </row>
    <row r="18" spans="1:27" x14ac:dyDescent="0.25">
      <c r="A18" s="1"/>
      <c r="B18" s="26"/>
      <c r="C18" s="1"/>
      <c r="I18" s="1"/>
      <c r="J18" s="1"/>
      <c r="R18" s="1"/>
      <c r="S18" s="1"/>
      <c r="T18" s="1"/>
      <c r="V18" s="1"/>
      <c r="W18" s="1"/>
      <c r="X18" s="1"/>
      <c r="Y18" s="1"/>
      <c r="AA18" s="1"/>
    </row>
    <row r="19" spans="1:27" x14ac:dyDescent="0.25">
      <c r="A19" s="1"/>
      <c r="B19" s="26"/>
      <c r="C19" s="1"/>
      <c r="I19" s="1"/>
      <c r="J19" s="1"/>
      <c r="R19" s="1"/>
      <c r="S19" s="1"/>
      <c r="T19" s="1"/>
      <c r="V19" s="1"/>
      <c r="W19" s="1"/>
      <c r="X19" s="1"/>
      <c r="Y19" s="1"/>
      <c r="AA19" s="1"/>
    </row>
    <row r="20" spans="1:27" x14ac:dyDescent="0.25">
      <c r="A20" s="1"/>
      <c r="B20" s="26"/>
      <c r="C20" s="1"/>
      <c r="I20" s="1"/>
      <c r="J20" s="1"/>
      <c r="R20" s="1"/>
      <c r="S20" s="1"/>
      <c r="T20" s="1"/>
      <c r="V20" s="1"/>
      <c r="W20" s="1"/>
      <c r="X20" s="1"/>
      <c r="Y20" s="1"/>
      <c r="AA20" s="1"/>
    </row>
    <row r="21" spans="1:27" x14ac:dyDescent="0.25">
      <c r="A21" s="1"/>
      <c r="B21" s="26"/>
      <c r="C21" s="1"/>
      <c r="I21" s="1"/>
      <c r="J21" s="1"/>
      <c r="R21" s="1"/>
      <c r="S21" s="1"/>
      <c r="T21" s="1"/>
      <c r="V21" s="1"/>
      <c r="W21" s="1"/>
      <c r="X21" s="1"/>
      <c r="Y21" s="1"/>
      <c r="AA21" s="1"/>
    </row>
    <row r="22" spans="1:27" x14ac:dyDescent="0.25">
      <c r="A22" s="1"/>
      <c r="B22" s="26"/>
      <c r="C22" s="1"/>
      <c r="I22" s="1"/>
      <c r="J22" s="1"/>
      <c r="R22" s="1"/>
      <c r="S22" s="1"/>
      <c r="T22" s="1"/>
      <c r="V22" s="1"/>
      <c r="W22" s="1"/>
      <c r="X22" s="1"/>
      <c r="Y22" s="1"/>
      <c r="AA22" s="1"/>
    </row>
    <row r="23" spans="1:27" x14ac:dyDescent="0.25">
      <c r="A23" s="1"/>
      <c r="B23" s="26"/>
      <c r="C23" s="1"/>
      <c r="I23" s="1"/>
      <c r="J23" s="1"/>
      <c r="R23" s="1"/>
      <c r="S23" s="1"/>
      <c r="T23" s="1"/>
      <c r="V23" s="1"/>
      <c r="W23" s="1"/>
      <c r="X23" s="1"/>
      <c r="Y23" s="1"/>
      <c r="AA23" s="1"/>
    </row>
    <row r="24" spans="1:27" x14ac:dyDescent="0.25">
      <c r="A24" s="1"/>
      <c r="B24" s="26"/>
      <c r="C24" s="1"/>
      <c r="I24" s="1"/>
      <c r="J24" s="1"/>
      <c r="R24" s="1"/>
      <c r="S24" s="1"/>
      <c r="T24" s="1"/>
      <c r="V24" s="1"/>
      <c r="W24" s="1"/>
      <c r="X24" s="1"/>
      <c r="Y24" s="1"/>
      <c r="AA24" s="1"/>
    </row>
    <row r="25" spans="1:27" x14ac:dyDescent="0.25">
      <c r="A25" s="1"/>
      <c r="B25" s="26"/>
      <c r="C25" s="1"/>
      <c r="I25" s="1"/>
      <c r="J25" s="1"/>
      <c r="R25" s="1"/>
      <c r="S25" s="1"/>
      <c r="T25" s="1"/>
      <c r="V25" s="1"/>
      <c r="W25" s="1"/>
      <c r="X25" s="1"/>
      <c r="Y25" s="1"/>
      <c r="AA25" s="1"/>
    </row>
    <row r="26" spans="1:27" x14ac:dyDescent="0.25">
      <c r="A26" s="1"/>
      <c r="B26" s="26"/>
      <c r="C26" s="1"/>
      <c r="I26" s="1"/>
      <c r="J26" s="1"/>
      <c r="R26" s="1"/>
      <c r="S26" s="1"/>
      <c r="T26" s="1"/>
      <c r="V26" s="1"/>
      <c r="W26" s="1"/>
      <c r="X26" s="1"/>
      <c r="Y26" s="1"/>
      <c r="AA26" s="1"/>
    </row>
    <row r="27" spans="1:27" x14ac:dyDescent="0.25">
      <c r="A27" s="1"/>
      <c r="B27" s="26"/>
      <c r="C27" s="1"/>
      <c r="I27" s="1"/>
      <c r="J27" s="1"/>
      <c r="R27" s="1"/>
      <c r="S27" s="1"/>
      <c r="T27" s="1"/>
      <c r="V27" s="1"/>
      <c r="W27" s="1"/>
      <c r="X27" s="1"/>
      <c r="Y27" s="1"/>
      <c r="AA27" s="1"/>
    </row>
    <row r="28" spans="1:27" x14ac:dyDescent="0.25">
      <c r="A28" s="1"/>
      <c r="B28" s="26"/>
      <c r="C28" s="1"/>
      <c r="I28" s="1"/>
      <c r="J28" s="1"/>
      <c r="R28" s="1"/>
      <c r="S28" s="1"/>
      <c r="T28" s="1"/>
      <c r="V28" s="1"/>
      <c r="W28" s="1"/>
      <c r="X28" s="1"/>
      <c r="Y28" s="1"/>
      <c r="AA28" s="1"/>
    </row>
    <row r="29" spans="1:27" x14ac:dyDescent="0.25">
      <c r="A29" s="1"/>
      <c r="B29" s="26"/>
      <c r="C29" s="1"/>
      <c r="I29" s="1"/>
      <c r="J29" s="1"/>
      <c r="R29" s="1"/>
      <c r="S29" s="1"/>
      <c r="T29" s="1"/>
      <c r="V29" s="1"/>
      <c r="W29" s="1"/>
      <c r="X29" s="1"/>
      <c r="Y29" s="1"/>
      <c r="AA29" s="1"/>
    </row>
    <row r="30" spans="1:27" x14ac:dyDescent="0.25">
      <c r="A30" s="1"/>
      <c r="B30" s="26"/>
      <c r="C30" s="1"/>
      <c r="I30" s="1"/>
      <c r="J30" s="1"/>
      <c r="R30" s="1"/>
      <c r="S30" s="1"/>
      <c r="T30" s="1"/>
      <c r="V30" s="1"/>
      <c r="W30" s="1"/>
      <c r="X30" s="1"/>
      <c r="Y30" s="1"/>
      <c r="AA30" s="1"/>
    </row>
    <row r="31" spans="1:27" x14ac:dyDescent="0.25">
      <c r="A31" s="1"/>
      <c r="B31" s="26"/>
      <c r="C31" s="1"/>
      <c r="I31" s="1"/>
      <c r="J31" s="1"/>
      <c r="R31" s="1"/>
      <c r="S31" s="1"/>
      <c r="T31" s="1"/>
      <c r="V31" s="1"/>
      <c r="W31" s="1"/>
      <c r="X31" s="1"/>
      <c r="Y31" s="1"/>
      <c r="AA31" s="1"/>
    </row>
    <row r="32" spans="1:27" x14ac:dyDescent="0.25">
      <c r="A32" s="1"/>
      <c r="B32" s="26"/>
      <c r="C32" s="1"/>
      <c r="I32" s="1"/>
      <c r="J32" s="1"/>
      <c r="R32" s="1"/>
      <c r="S32" s="1"/>
      <c r="T32" s="1"/>
      <c r="V32" s="1"/>
      <c r="W32" s="1"/>
      <c r="X32" s="1"/>
      <c r="Y32" s="1"/>
      <c r="AA32" s="1"/>
    </row>
    <row r="33" spans="1:27" x14ac:dyDescent="0.25">
      <c r="A33" s="1"/>
      <c r="B33" s="26"/>
      <c r="C33" s="1"/>
      <c r="I33" s="1"/>
      <c r="J33" s="1"/>
      <c r="R33" s="1"/>
      <c r="S33" s="1"/>
      <c r="T33" s="1"/>
      <c r="V33" s="1"/>
      <c r="W33" s="1"/>
      <c r="X33" s="1"/>
      <c r="Y33" s="1"/>
      <c r="AA33" s="1"/>
    </row>
    <row r="34" spans="1:27" x14ac:dyDescent="0.25">
      <c r="A34" s="1"/>
      <c r="B34" s="26"/>
      <c r="C34" s="1"/>
      <c r="I34" s="1"/>
      <c r="J34" s="1"/>
      <c r="R34" s="1"/>
      <c r="S34" s="1"/>
      <c r="T34" s="1"/>
      <c r="V34" s="1"/>
      <c r="W34" s="1"/>
      <c r="X34" s="1"/>
      <c r="Y34" s="1"/>
      <c r="AA34" s="1"/>
    </row>
    <row r="35" spans="1:27" x14ac:dyDescent="0.25">
      <c r="A35" s="1"/>
      <c r="B35" s="26"/>
      <c r="C35" s="1"/>
      <c r="I35" s="1"/>
      <c r="J35" s="1"/>
      <c r="R35" s="1"/>
      <c r="S35" s="1"/>
      <c r="T35" s="1"/>
      <c r="V35" s="1"/>
      <c r="W35" s="1"/>
      <c r="X35" s="1"/>
      <c r="Y35" s="1"/>
      <c r="AA35" s="1"/>
    </row>
    <row r="36" spans="1:27" x14ac:dyDescent="0.25">
      <c r="A36" s="1"/>
      <c r="B36" s="26"/>
      <c r="C36" s="1"/>
      <c r="I36" s="1"/>
      <c r="J36" s="1"/>
      <c r="R36" s="1"/>
      <c r="S36" s="1"/>
      <c r="T36" s="1"/>
      <c r="V36" s="1"/>
      <c r="W36" s="1"/>
      <c r="X36" s="1"/>
      <c r="Y36" s="1"/>
      <c r="AA36" s="1"/>
    </row>
    <row r="37" spans="1:27" x14ac:dyDescent="0.25">
      <c r="A37" s="1"/>
      <c r="B37" s="26"/>
      <c r="C37" s="1"/>
      <c r="I37" s="1"/>
      <c r="J37" s="1"/>
      <c r="R37" s="1"/>
      <c r="S37" s="1"/>
      <c r="T37" s="1"/>
      <c r="V37" s="1"/>
      <c r="W37" s="1"/>
      <c r="X37" s="1"/>
      <c r="Y37" s="1"/>
      <c r="AA37" s="1"/>
    </row>
    <row r="38" spans="1:27" x14ac:dyDescent="0.25">
      <c r="A38" s="1"/>
      <c r="B38" s="26"/>
      <c r="C38" s="1"/>
      <c r="I38" s="1"/>
      <c r="J38" s="1"/>
      <c r="R38" s="1"/>
      <c r="S38" s="1"/>
      <c r="T38" s="1"/>
      <c r="V38" s="1"/>
      <c r="W38" s="1"/>
      <c r="X38" s="1"/>
      <c r="Y38" s="1"/>
      <c r="AA38" s="1"/>
    </row>
    <row r="39" spans="1:27" x14ac:dyDescent="0.25">
      <c r="A39" s="1"/>
      <c r="B39" s="26"/>
      <c r="C39" s="1"/>
      <c r="I39" s="1"/>
      <c r="J39" s="1"/>
      <c r="R39" s="1"/>
      <c r="S39" s="1"/>
      <c r="T39" s="1"/>
      <c r="V39" s="1"/>
      <c r="W39" s="1"/>
      <c r="X39" s="1"/>
      <c r="Y39" s="1"/>
      <c r="AA39" s="1"/>
    </row>
    <row r="40" spans="1:27" x14ac:dyDescent="0.25">
      <c r="A40" s="1"/>
      <c r="B40" s="26"/>
      <c r="C40" s="1"/>
      <c r="I40" s="1"/>
      <c r="J40" s="1"/>
      <c r="R40" s="1"/>
      <c r="S40" s="1"/>
      <c r="T40" s="1"/>
      <c r="V40" s="1"/>
      <c r="W40" s="1"/>
      <c r="X40" s="1"/>
      <c r="Y40" s="1"/>
      <c r="AA40" s="1"/>
    </row>
    <row r="41" spans="1:27" x14ac:dyDescent="0.25">
      <c r="A41" s="1"/>
      <c r="B41" s="26"/>
      <c r="C41" s="1"/>
      <c r="I41" s="1"/>
      <c r="J41" s="1"/>
      <c r="R41" s="1"/>
      <c r="S41" s="1"/>
      <c r="T41" s="1"/>
      <c r="V41" s="1"/>
      <c r="W41" s="1"/>
      <c r="X41" s="1"/>
      <c r="Y41" s="1"/>
      <c r="AA41" s="1"/>
    </row>
    <row r="42" spans="1:27" x14ac:dyDescent="0.25">
      <c r="A42" s="1"/>
      <c r="B42" s="26"/>
      <c r="C42" s="1"/>
      <c r="I42" s="1"/>
      <c r="J42" s="1"/>
      <c r="R42" s="1"/>
      <c r="S42" s="1"/>
      <c r="T42" s="1"/>
      <c r="V42" s="1"/>
      <c r="W42" s="1"/>
      <c r="X42" s="1"/>
      <c r="Y42" s="1"/>
      <c r="AA42" s="1"/>
    </row>
    <row r="43" spans="1:27" x14ac:dyDescent="0.25">
      <c r="A43" s="1"/>
      <c r="B43" s="26"/>
      <c r="C43" s="1"/>
      <c r="I43" s="1"/>
      <c r="J43" s="1"/>
      <c r="R43" s="1"/>
      <c r="S43" s="1"/>
      <c r="T43" s="1"/>
      <c r="V43" s="1"/>
      <c r="W43" s="1"/>
      <c r="X43" s="1"/>
      <c r="Y43" s="1"/>
      <c r="AA43" s="1"/>
    </row>
    <row r="44" spans="1:27" x14ac:dyDescent="0.25">
      <c r="A44" s="1"/>
      <c r="B44" s="26"/>
      <c r="C44" s="1"/>
      <c r="I44" s="1"/>
      <c r="J44" s="1"/>
      <c r="R44" s="1"/>
      <c r="S44" s="1"/>
      <c r="T44" s="1"/>
      <c r="V44" s="1"/>
      <c r="W44" s="1"/>
      <c r="X44" s="1"/>
      <c r="Y44" s="1"/>
      <c r="AA44" s="1"/>
    </row>
    <row r="45" spans="1:27" x14ac:dyDescent="0.25">
      <c r="A45" s="1"/>
      <c r="B45" s="26"/>
      <c r="C45" s="1"/>
      <c r="I45" s="1"/>
      <c r="J45" s="1"/>
      <c r="R45" s="1"/>
      <c r="S45" s="1"/>
      <c r="T45" s="1"/>
      <c r="V45" s="1"/>
      <c r="W45" s="1"/>
      <c r="X45" s="1"/>
      <c r="Y45" s="1"/>
      <c r="AA45" s="1"/>
    </row>
    <row r="46" spans="1:27" x14ac:dyDescent="0.25">
      <c r="A46" s="1"/>
      <c r="B46" s="26"/>
      <c r="C46" s="1"/>
      <c r="I46" s="1"/>
      <c r="J46" s="1"/>
      <c r="R46" s="1"/>
      <c r="S46" s="1"/>
      <c r="T46" s="1"/>
      <c r="V46" s="1"/>
      <c r="W46" s="1"/>
      <c r="X46" s="1"/>
      <c r="Y46" s="1"/>
      <c r="AA46" s="1"/>
    </row>
    <row r="47" spans="1:27" x14ac:dyDescent="0.25">
      <c r="A47" s="1"/>
      <c r="B47" s="26"/>
      <c r="C47" s="1"/>
      <c r="I47" s="1"/>
      <c r="J47" s="1"/>
      <c r="R47" s="1"/>
      <c r="S47" s="1"/>
      <c r="T47" s="1"/>
      <c r="V47" s="1"/>
      <c r="W47" s="1"/>
      <c r="X47" s="1"/>
      <c r="Y47" s="1"/>
      <c r="AA47" s="1"/>
    </row>
    <row r="48" spans="1:27" x14ac:dyDescent="0.25">
      <c r="A48" s="1"/>
      <c r="B48" s="26"/>
      <c r="C48" s="1"/>
      <c r="I48" s="1"/>
      <c r="J48" s="1"/>
      <c r="R48" s="1"/>
      <c r="S48" s="1"/>
      <c r="T48" s="1"/>
      <c r="V48" s="1"/>
      <c r="W48" s="1"/>
      <c r="X48" s="1"/>
      <c r="Y48" s="1"/>
      <c r="AA48" s="1"/>
    </row>
    <row r="49" spans="1:27" x14ac:dyDescent="0.25">
      <c r="A49" s="1"/>
      <c r="B49" s="26"/>
      <c r="C49" s="1"/>
      <c r="I49" s="1"/>
      <c r="J49" s="1"/>
      <c r="R49" s="1"/>
      <c r="S49" s="1"/>
      <c r="T49" s="1"/>
      <c r="V49" s="1"/>
      <c r="W49" s="1"/>
      <c r="X49" s="1"/>
      <c r="Y49" s="1"/>
      <c r="AA49" s="1"/>
    </row>
    <row r="50" spans="1:27" x14ac:dyDescent="0.25">
      <c r="A50" s="1"/>
      <c r="B50" s="26"/>
      <c r="C50" s="1"/>
      <c r="I50" s="1"/>
      <c r="J50" s="1"/>
      <c r="R50" s="1"/>
      <c r="S50" s="1"/>
      <c r="T50" s="1"/>
      <c r="V50" s="1"/>
      <c r="W50" s="1"/>
      <c r="X50" s="1"/>
      <c r="Y50" s="1"/>
      <c r="AA50" s="1"/>
    </row>
    <row r="51" spans="1:27" x14ac:dyDescent="0.25">
      <c r="A51" s="1"/>
      <c r="B51" s="26"/>
      <c r="C51" s="1"/>
      <c r="I51" s="1"/>
      <c r="J51" s="1"/>
      <c r="R51" s="1"/>
      <c r="S51" s="1"/>
      <c r="T51" s="1"/>
      <c r="V51" s="1"/>
      <c r="W51" s="1"/>
      <c r="X51" s="1"/>
      <c r="Y51" s="1"/>
      <c r="AA51" s="1"/>
    </row>
    <row r="52" spans="1:27" x14ac:dyDescent="0.25">
      <c r="A52" s="1"/>
      <c r="B52" s="26"/>
      <c r="C52" s="1"/>
      <c r="I52" s="1"/>
      <c r="J52" s="1"/>
      <c r="R52" s="1"/>
      <c r="S52" s="1"/>
      <c r="T52" s="1"/>
      <c r="V52" s="1"/>
      <c r="W52" s="1"/>
      <c r="X52" s="1"/>
      <c r="Y52" s="1"/>
      <c r="AA52" s="1"/>
    </row>
    <row r="53" spans="1:27" x14ac:dyDescent="0.25">
      <c r="A53" s="1"/>
      <c r="B53" s="26"/>
      <c r="C53" s="1"/>
      <c r="I53" s="1"/>
      <c r="J53" s="1"/>
      <c r="R53" s="1"/>
      <c r="S53" s="1"/>
      <c r="T53" s="1"/>
      <c r="V53" s="1"/>
      <c r="W53" s="1"/>
      <c r="X53" s="1"/>
      <c r="Y53" s="1"/>
      <c r="AA53" s="1"/>
    </row>
    <row r="54" spans="1:27" x14ac:dyDescent="0.25">
      <c r="A54" s="1"/>
      <c r="B54" s="26"/>
      <c r="C54" s="1"/>
      <c r="I54" s="1"/>
      <c r="J54" s="1"/>
      <c r="R54" s="1"/>
      <c r="S54" s="1"/>
      <c r="T54" s="1"/>
      <c r="V54" s="1"/>
      <c r="W54" s="1"/>
      <c r="X54" s="1"/>
      <c r="Y54" s="1"/>
      <c r="AA54" s="1"/>
    </row>
    <row r="55" spans="1:27" x14ac:dyDescent="0.25">
      <c r="A55" s="1"/>
      <c r="B55" s="26"/>
      <c r="C55" s="1"/>
      <c r="I55" s="1"/>
      <c r="J55" s="1"/>
      <c r="R55" s="1"/>
      <c r="S55" s="1"/>
      <c r="T55" s="1"/>
      <c r="V55" s="1"/>
      <c r="W55" s="1"/>
      <c r="X55" s="1"/>
      <c r="Y55" s="1"/>
      <c r="AA55" s="1"/>
    </row>
    <row r="56" spans="1:27" x14ac:dyDescent="0.25">
      <c r="A56" s="1"/>
      <c r="B56" s="26"/>
      <c r="C56" s="1"/>
      <c r="I56" s="1"/>
      <c r="J56" s="1"/>
      <c r="R56" s="1"/>
      <c r="S56" s="1"/>
      <c r="T56" s="1"/>
      <c r="V56" s="1"/>
      <c r="W56" s="1"/>
      <c r="X56" s="1"/>
      <c r="Y56" s="1"/>
      <c r="AA56" s="1"/>
    </row>
    <row r="57" spans="1:27" x14ac:dyDescent="0.25">
      <c r="A57" s="1"/>
      <c r="B57" s="26"/>
      <c r="C57" s="1"/>
      <c r="I57" s="1"/>
      <c r="J57" s="1"/>
      <c r="R57" s="1"/>
      <c r="S57" s="1"/>
      <c r="T57" s="1"/>
      <c r="V57" s="1"/>
      <c r="W57" s="1"/>
      <c r="X57" s="1"/>
      <c r="Y57" s="1"/>
      <c r="AA57" s="1"/>
    </row>
    <row r="58" spans="1:27" x14ac:dyDescent="0.25">
      <c r="A58" s="1"/>
      <c r="B58" s="26"/>
      <c r="C58" s="1"/>
      <c r="I58" s="1"/>
      <c r="J58" s="1"/>
      <c r="R58" s="1"/>
      <c r="S58" s="1"/>
      <c r="T58" s="1"/>
      <c r="V58" s="1"/>
      <c r="W58" s="1"/>
      <c r="X58" s="1"/>
      <c r="Y58" s="1"/>
      <c r="AA58" s="1"/>
    </row>
    <row r="59" spans="1:27" x14ac:dyDescent="0.25">
      <c r="A59" s="1"/>
      <c r="B59" s="26"/>
      <c r="C59" s="1"/>
      <c r="I59" s="1"/>
      <c r="J59" s="1"/>
      <c r="R59" s="1"/>
      <c r="S59" s="1"/>
      <c r="T59" s="1"/>
      <c r="V59" s="1"/>
      <c r="W59" s="1"/>
      <c r="X59" s="1"/>
      <c r="Y59" s="1"/>
      <c r="AA59" s="1"/>
    </row>
    <row r="60" spans="1:27" x14ac:dyDescent="0.25">
      <c r="A60" s="1"/>
      <c r="B60" s="26"/>
      <c r="C60" s="1"/>
      <c r="I60" s="1"/>
      <c r="J60" s="1"/>
      <c r="R60" s="1"/>
      <c r="S60" s="1"/>
      <c r="T60" s="1"/>
      <c r="V60" s="1"/>
      <c r="W60" s="1"/>
      <c r="X60" s="1"/>
      <c r="Y60" s="1"/>
      <c r="AA60" s="1"/>
    </row>
    <row r="61" spans="1:27" x14ac:dyDescent="0.25">
      <c r="A61" s="1"/>
      <c r="B61" s="26"/>
      <c r="C61" s="1"/>
      <c r="I61" s="1"/>
      <c r="J61" s="1"/>
      <c r="R61" s="1"/>
      <c r="S61" s="1"/>
      <c r="T61" s="1"/>
      <c r="V61" s="1"/>
      <c r="W61" s="1"/>
      <c r="X61" s="1"/>
      <c r="Y61" s="1"/>
      <c r="AA61" s="1"/>
    </row>
    <row r="62" spans="1:27" x14ac:dyDescent="0.25">
      <c r="A62" s="1"/>
      <c r="B62" s="26"/>
      <c r="C62" s="1"/>
      <c r="I62" s="1"/>
      <c r="J62" s="1"/>
      <c r="R62" s="1"/>
      <c r="S62" s="1"/>
      <c r="T62" s="1"/>
      <c r="V62" s="1"/>
      <c r="W62" s="1"/>
      <c r="X62" s="1"/>
      <c r="Y62" s="1"/>
      <c r="AA62" s="1"/>
    </row>
    <row r="63" spans="1:27" x14ac:dyDescent="0.25">
      <c r="A63" s="1"/>
      <c r="B63" s="26"/>
      <c r="C63" s="1"/>
      <c r="I63" s="1"/>
      <c r="J63" s="1"/>
      <c r="R63" s="1"/>
      <c r="S63" s="1"/>
      <c r="T63" s="1"/>
      <c r="V63" s="1"/>
      <c r="W63" s="1"/>
      <c r="X63" s="1"/>
      <c r="Y63" s="1"/>
      <c r="AA63" s="1"/>
    </row>
    <row r="64" spans="1:27" x14ac:dyDescent="0.25">
      <c r="A64" s="1"/>
      <c r="B64" s="26"/>
      <c r="C64" s="1"/>
      <c r="I64" s="1"/>
      <c r="J64" s="1"/>
      <c r="R64" s="1"/>
      <c r="S64" s="1"/>
      <c r="T64" s="1"/>
      <c r="V64" s="1"/>
      <c r="W64" s="1"/>
      <c r="X64" s="1"/>
      <c r="Y64" s="1"/>
      <c r="AA64" s="1"/>
    </row>
    <row r="65" spans="1:27" x14ac:dyDescent="0.25">
      <c r="A65" s="1"/>
      <c r="B65" s="26"/>
      <c r="C65" s="1"/>
      <c r="I65" s="1"/>
      <c r="J65" s="1"/>
      <c r="R65" s="1"/>
      <c r="S65" s="1"/>
      <c r="T65" s="1"/>
      <c r="V65" s="1"/>
      <c r="W65" s="1"/>
      <c r="X65" s="1"/>
      <c r="Y65" s="1"/>
      <c r="AA65" s="1"/>
    </row>
    <row r="66" spans="1:27" x14ac:dyDescent="0.25">
      <c r="A66" s="1"/>
      <c r="B66" s="26"/>
      <c r="C66" s="1"/>
      <c r="I66" s="1"/>
      <c r="J66" s="1"/>
      <c r="R66" s="1"/>
      <c r="S66" s="1"/>
      <c r="T66" s="1"/>
      <c r="V66" s="1"/>
      <c r="W66" s="1"/>
      <c r="X66" s="1"/>
      <c r="Y66" s="1"/>
      <c r="AA66" s="1"/>
    </row>
    <row r="67" spans="1:27" x14ac:dyDescent="0.25">
      <c r="A67" s="1"/>
      <c r="B67" s="26"/>
      <c r="C67" s="1"/>
      <c r="I67" s="1"/>
      <c r="J67" s="1"/>
      <c r="R67" s="1"/>
      <c r="S67" s="1"/>
      <c r="T67" s="1"/>
      <c r="V67" s="1"/>
      <c r="W67" s="1"/>
      <c r="X67" s="1"/>
      <c r="Y67" s="1"/>
      <c r="AA67"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U79"/>
  <sheetViews>
    <sheetView tabSelected="1" workbookViewId="0">
      <selection activeCell="I15" sqref="I15"/>
    </sheetView>
  </sheetViews>
  <sheetFormatPr defaultRowHeight="15" x14ac:dyDescent="0.25"/>
  <cols>
    <col min="2" max="2" width="41.42578125" style="2" customWidth="1"/>
    <col min="3" max="3" width="16.28515625" style="3" customWidth="1"/>
    <col min="4" max="4" width="27.140625" style="2" customWidth="1"/>
    <col min="5" max="5" width="12.85546875" style="3" customWidth="1"/>
    <col min="6" max="6" width="16.85546875" style="3" customWidth="1"/>
    <col min="7" max="8" width="14.140625" style="3" customWidth="1"/>
    <col min="9" max="9" width="14.140625" customWidth="1"/>
    <col min="10" max="10" width="9.7109375" bestFit="1" customWidth="1"/>
    <col min="11" max="13" width="19" customWidth="1"/>
    <col min="14" max="14" width="20.7109375" style="3" customWidth="1"/>
    <col min="15" max="15" width="28.85546875" style="3" customWidth="1"/>
    <col min="16" max="16" width="23.5703125" style="3" bestFit="1" customWidth="1"/>
    <col min="17" max="17" width="24.28515625" style="3" customWidth="1"/>
    <col min="18" max="19" width="26" style="3" customWidth="1"/>
    <col min="20" max="20" width="20.7109375" style="3" customWidth="1"/>
    <col min="21" max="21" width="20.42578125" style="3" customWidth="1"/>
    <col min="22" max="22" width="21.5703125" style="3" bestFit="1" customWidth="1"/>
    <col min="23" max="23" width="24.140625" style="3" bestFit="1" customWidth="1"/>
    <col min="24" max="24" width="19.5703125" style="3" bestFit="1" customWidth="1"/>
    <col min="25" max="25" width="19" style="3" bestFit="1" customWidth="1"/>
    <col min="26" max="26" width="20.28515625" style="3" customWidth="1"/>
    <col min="27" max="27" width="17.5703125" style="3" bestFit="1" customWidth="1"/>
    <col min="28" max="28" width="18.7109375" style="3" bestFit="1" customWidth="1"/>
    <col min="29" max="29" width="17.85546875" style="3" bestFit="1" customWidth="1"/>
    <col min="30" max="30" width="33.85546875" style="3" bestFit="1" customWidth="1"/>
    <col min="31" max="31" width="17.85546875" style="3" customWidth="1"/>
    <col min="32" max="32" width="14.7109375" style="3" customWidth="1"/>
    <col min="33" max="33" width="9.140625" customWidth="1"/>
    <col min="34" max="34" width="18.7109375" bestFit="1" customWidth="1"/>
    <col min="35" max="35" width="33.85546875" bestFit="1" customWidth="1"/>
    <col min="36" max="36" width="17.7109375" bestFit="1" customWidth="1"/>
    <col min="37" max="38" width="9.140625" customWidth="1"/>
    <col min="39" max="64" width="9.140625" hidden="1" customWidth="1"/>
    <col min="65" max="65" width="11.140625" customWidth="1"/>
    <col min="66" max="66" width="12.28515625" customWidth="1"/>
    <col min="67" max="67" width="12.42578125" customWidth="1"/>
    <col min="69" max="69" width="11.85546875" customWidth="1"/>
    <col min="70" max="70" width="13.7109375" customWidth="1"/>
    <col min="73" max="73" width="9.7109375" bestFit="1" customWidth="1"/>
  </cols>
  <sheetData>
    <row r="1" spans="1:73" x14ac:dyDescent="0.25">
      <c r="B1" s="48" t="s">
        <v>10</v>
      </c>
      <c r="C1" s="48"/>
      <c r="D1" s="48"/>
      <c r="E1" s="48"/>
      <c r="F1" s="49"/>
      <c r="G1" s="7"/>
      <c r="H1" s="7"/>
      <c r="K1" s="8" t="s">
        <v>14</v>
      </c>
      <c r="L1" s="10" t="s">
        <v>12</v>
      </c>
      <c r="M1" s="13" t="s">
        <v>105</v>
      </c>
      <c r="N1" s="13" t="s">
        <v>106</v>
      </c>
      <c r="O1" s="13" t="s">
        <v>108</v>
      </c>
      <c r="P1" s="13" t="s">
        <v>109</v>
      </c>
      <c r="Q1" s="13" t="s">
        <v>115</v>
      </c>
      <c r="R1" s="13" t="s">
        <v>121</v>
      </c>
      <c r="S1" s="13" t="s">
        <v>122</v>
      </c>
      <c r="T1" s="13" t="s">
        <v>123</v>
      </c>
      <c r="U1" s="13" t="s">
        <v>124</v>
      </c>
      <c r="V1" s="13" t="s">
        <v>125</v>
      </c>
      <c r="W1" s="13" t="s">
        <v>132</v>
      </c>
      <c r="X1" s="13" t="s">
        <v>143</v>
      </c>
      <c r="Y1" s="13" t="s">
        <v>146</v>
      </c>
      <c r="Z1" s="13" t="s">
        <v>147</v>
      </c>
      <c r="AA1" s="13" t="s">
        <v>148</v>
      </c>
      <c r="AB1" s="13" t="s">
        <v>150</v>
      </c>
      <c r="AC1" s="13" t="s">
        <v>151</v>
      </c>
      <c r="AD1" s="13"/>
      <c r="AE1" s="13"/>
      <c r="AF1" s="12"/>
      <c r="AG1" s="12"/>
      <c r="AH1" s="12"/>
      <c r="AI1" s="13"/>
      <c r="AJ1" s="12"/>
      <c r="AK1" s="12"/>
      <c r="AL1" s="13"/>
      <c r="AM1" s="13"/>
      <c r="AN1" s="13"/>
      <c r="AO1" s="13"/>
      <c r="AP1" s="13"/>
      <c r="AQ1" s="13"/>
      <c r="AR1" s="13"/>
      <c r="AS1" s="13"/>
      <c r="AT1" s="13"/>
      <c r="AU1" s="13"/>
      <c r="AV1" s="13"/>
      <c r="AW1" s="13"/>
      <c r="AX1" s="13"/>
      <c r="AY1" s="13"/>
      <c r="AZ1" s="13"/>
      <c r="BM1" s="7" t="s">
        <v>17</v>
      </c>
      <c r="BN1" s="7" t="s">
        <v>23</v>
      </c>
      <c r="BO1" s="7" t="s">
        <v>26</v>
      </c>
      <c r="BQ1" s="28" t="s">
        <v>17</v>
      </c>
      <c r="BR1" s="28" t="s">
        <v>23</v>
      </c>
      <c r="BS1" s="28" t="s">
        <v>26</v>
      </c>
    </row>
    <row r="2" spans="1:73" x14ac:dyDescent="0.25">
      <c r="A2" s="7" t="s">
        <v>9</v>
      </c>
      <c r="B2" s="9" t="s">
        <v>4</v>
      </c>
      <c r="C2" s="7" t="s">
        <v>3</v>
      </c>
      <c r="D2" s="9" t="s">
        <v>7</v>
      </c>
      <c r="E2" s="7" t="s">
        <v>5</v>
      </c>
      <c r="F2" s="7" t="s">
        <v>6</v>
      </c>
      <c r="G2" s="7" t="s">
        <v>13</v>
      </c>
      <c r="H2" s="7" t="s">
        <v>27</v>
      </c>
      <c r="K2" s="8" t="s">
        <v>15</v>
      </c>
      <c r="L2" s="10" t="s">
        <v>19</v>
      </c>
      <c r="M2" s="13">
        <v>3</v>
      </c>
      <c r="N2" s="13">
        <v>4</v>
      </c>
      <c r="O2" s="13">
        <v>5</v>
      </c>
      <c r="P2" s="13">
        <v>6</v>
      </c>
      <c r="Q2" s="13">
        <v>11</v>
      </c>
      <c r="R2" s="13">
        <v>16</v>
      </c>
      <c r="S2" s="13">
        <v>17</v>
      </c>
      <c r="T2" s="13">
        <v>18</v>
      </c>
      <c r="U2" s="13">
        <v>19</v>
      </c>
      <c r="V2" s="13">
        <v>20</v>
      </c>
      <c r="W2" s="13">
        <v>26</v>
      </c>
      <c r="X2" s="13">
        <v>34</v>
      </c>
      <c r="Y2" s="13">
        <v>37</v>
      </c>
      <c r="Z2" s="13">
        <v>38</v>
      </c>
      <c r="AA2" s="13">
        <v>39</v>
      </c>
      <c r="AB2" s="13">
        <v>41</v>
      </c>
      <c r="AC2" s="13">
        <v>42</v>
      </c>
      <c r="AD2" s="13"/>
      <c r="AE2" s="13"/>
      <c r="AF2" s="13"/>
      <c r="AG2" s="13"/>
      <c r="AH2" s="13"/>
      <c r="AI2" s="13"/>
      <c r="AJ2" s="13"/>
      <c r="AK2" s="13"/>
      <c r="AL2" s="13"/>
      <c r="AM2" s="13"/>
      <c r="AN2" s="13"/>
      <c r="AO2" s="13"/>
      <c r="AP2" s="13"/>
      <c r="AQ2" s="13"/>
      <c r="AR2" s="13"/>
      <c r="AS2" s="13"/>
      <c r="AT2" s="13"/>
      <c r="AU2" s="13"/>
      <c r="AV2" s="13"/>
      <c r="AW2" s="13"/>
      <c r="AX2" s="13"/>
      <c r="AY2" s="13"/>
      <c r="AZ2" s="13"/>
      <c r="BM2" s="10"/>
      <c r="BN2" s="10"/>
      <c r="BO2" s="10"/>
      <c r="BQ2" s="28"/>
      <c r="BR2" s="28"/>
      <c r="BS2" s="28"/>
    </row>
    <row r="3" spans="1:73" x14ac:dyDescent="0.25">
      <c r="A3" s="7">
        <v>1</v>
      </c>
      <c r="B3" s="12" t="s">
        <v>153</v>
      </c>
      <c r="C3" s="13">
        <v>43</v>
      </c>
      <c r="D3" s="13"/>
      <c r="E3" s="15">
        <v>764510068</v>
      </c>
      <c r="F3" s="13">
        <v>1</v>
      </c>
      <c r="G3" s="13">
        <v>16</v>
      </c>
      <c r="H3" s="13">
        <v>0</v>
      </c>
      <c r="K3" s="9" t="s">
        <v>16</v>
      </c>
      <c r="L3" s="10" t="s">
        <v>20</v>
      </c>
      <c r="M3" s="41" t="s">
        <v>22</v>
      </c>
      <c r="N3" s="13"/>
      <c r="O3" s="13"/>
      <c r="P3" s="41"/>
      <c r="Q3" s="13"/>
      <c r="R3" s="22"/>
      <c r="S3" s="41"/>
      <c r="T3" s="22"/>
      <c r="U3" s="13"/>
      <c r="V3" s="22"/>
      <c r="W3" s="22"/>
      <c r="X3" s="13"/>
      <c r="Y3" s="41" t="s">
        <v>159</v>
      </c>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M3" s="7" t="s">
        <v>22</v>
      </c>
      <c r="BN3" s="7" t="s">
        <v>24</v>
      </c>
      <c r="BO3" s="7" t="s">
        <v>25</v>
      </c>
      <c r="BQ3" s="28" t="s">
        <v>22</v>
      </c>
      <c r="BR3" s="28" t="s">
        <v>24</v>
      </c>
      <c r="BS3" s="28" t="s">
        <v>25</v>
      </c>
    </row>
    <row r="4" spans="1:73" x14ac:dyDescent="0.25">
      <c r="A4" s="7">
        <v>2</v>
      </c>
      <c r="B4" s="12"/>
      <c r="C4" s="13"/>
      <c r="D4" s="12"/>
      <c r="E4" s="15"/>
      <c r="F4" s="13"/>
      <c r="G4" s="13"/>
      <c r="H4" s="13"/>
      <c r="I4" s="39"/>
      <c r="J4" s="39"/>
      <c r="L4" s="21">
        <v>20</v>
      </c>
      <c r="M4" s="21" t="s">
        <v>91</v>
      </c>
      <c r="N4" s="18" t="s">
        <v>107</v>
      </c>
      <c r="O4" s="18" t="s">
        <v>95</v>
      </c>
      <c r="P4" s="18" t="s">
        <v>95</v>
      </c>
      <c r="Q4" s="21" t="s">
        <v>160</v>
      </c>
      <c r="R4" s="18" t="s">
        <v>94</v>
      </c>
      <c r="S4" s="18" t="s">
        <v>94</v>
      </c>
      <c r="T4" s="18" t="s">
        <v>94</v>
      </c>
      <c r="U4" s="18" t="s">
        <v>96</v>
      </c>
      <c r="V4" s="18" t="s">
        <v>96</v>
      </c>
      <c r="W4" s="18" t="s">
        <v>101</v>
      </c>
      <c r="X4" s="18">
        <v>2</v>
      </c>
      <c r="Y4" s="18" t="s">
        <v>97</v>
      </c>
      <c r="Z4" s="18" t="s">
        <v>161</v>
      </c>
      <c r="AA4" s="46" t="s">
        <v>162</v>
      </c>
      <c r="AB4" s="18" t="s">
        <v>152</v>
      </c>
      <c r="AC4" s="18" t="s">
        <v>154</v>
      </c>
      <c r="AD4" s="18"/>
      <c r="AE4" s="45"/>
      <c r="AF4" s="18"/>
      <c r="AG4" s="18"/>
      <c r="AH4" s="18"/>
      <c r="AI4" s="18"/>
      <c r="AJ4" s="18"/>
      <c r="AK4" s="18"/>
      <c r="AL4" s="42"/>
      <c r="AM4" s="42"/>
      <c r="AN4" s="42"/>
      <c r="AO4" s="42"/>
      <c r="AP4" s="42"/>
      <c r="AQ4" s="42"/>
      <c r="AR4" s="42"/>
      <c r="AS4" s="42"/>
      <c r="AT4" s="42"/>
      <c r="AU4" s="42"/>
      <c r="AV4" s="42"/>
      <c r="AW4" s="42"/>
      <c r="AX4" s="42"/>
      <c r="AY4" s="42"/>
      <c r="AZ4" s="42"/>
      <c r="BA4" s="19"/>
      <c r="BB4" s="19"/>
      <c r="BC4" s="19"/>
      <c r="BD4" s="19"/>
      <c r="BE4" s="19"/>
      <c r="BF4" s="19"/>
      <c r="BG4" s="19"/>
      <c r="BH4" s="19"/>
      <c r="BI4" s="19"/>
      <c r="BJ4" s="19"/>
      <c r="BK4" s="19"/>
      <c r="BL4" s="19"/>
      <c r="BM4" s="18">
        <v>20180525</v>
      </c>
      <c r="BN4" s="18" t="s">
        <v>98</v>
      </c>
      <c r="BO4" s="18">
        <v>30</v>
      </c>
      <c r="BQ4" s="18">
        <v>20180525</v>
      </c>
      <c r="BR4" s="18" t="s">
        <v>99</v>
      </c>
      <c r="BS4" s="18">
        <v>30</v>
      </c>
      <c r="BU4" s="39"/>
    </row>
    <row r="5" spans="1:73" x14ac:dyDescent="0.25">
      <c r="A5" s="7">
        <v>3</v>
      </c>
      <c r="B5" s="12"/>
      <c r="C5" s="13"/>
      <c r="D5" s="12"/>
      <c r="E5" s="13"/>
      <c r="F5" s="13"/>
      <c r="G5" s="13"/>
      <c r="H5" s="13"/>
      <c r="I5" s="39"/>
      <c r="J5" s="39"/>
      <c r="L5" s="21"/>
      <c r="M5" s="21"/>
      <c r="N5" s="21"/>
      <c r="O5" s="21"/>
      <c r="P5" s="21"/>
      <c r="Q5" s="21"/>
      <c r="R5" s="21"/>
      <c r="S5" s="21"/>
      <c r="T5" s="21"/>
      <c r="U5" s="21"/>
      <c r="V5" s="21"/>
      <c r="W5" s="21"/>
      <c r="X5" s="21"/>
      <c r="Y5" s="21"/>
      <c r="Z5" s="21"/>
      <c r="AA5" s="21"/>
      <c r="AB5" s="21"/>
      <c r="AC5" s="21"/>
      <c r="AD5" s="18"/>
      <c r="AE5" s="45"/>
      <c r="AF5" s="18"/>
      <c r="AG5" s="18"/>
      <c r="AH5" s="18"/>
      <c r="AI5" s="18"/>
      <c r="AJ5" s="18"/>
      <c r="AK5" s="18"/>
      <c r="AL5" s="42"/>
      <c r="AM5" s="42"/>
      <c r="AN5" s="42"/>
      <c r="AO5" s="42"/>
      <c r="AP5" s="42"/>
      <c r="AQ5" s="42"/>
      <c r="AR5" s="42"/>
      <c r="AS5" s="42"/>
      <c r="AT5" s="42"/>
      <c r="AU5" s="42"/>
      <c r="AV5" s="42"/>
      <c r="AW5" s="42"/>
      <c r="AX5" s="42"/>
      <c r="AY5" s="42"/>
      <c r="AZ5" s="42"/>
      <c r="BA5" s="19"/>
      <c r="BB5" s="19"/>
      <c r="BC5" s="19"/>
      <c r="BD5" s="19"/>
      <c r="BE5" s="19"/>
      <c r="BF5" s="19"/>
      <c r="BG5" s="19"/>
      <c r="BH5" s="19"/>
      <c r="BI5" s="19"/>
      <c r="BJ5" s="19"/>
      <c r="BK5" s="19"/>
      <c r="BL5" s="19"/>
      <c r="BM5" s="18"/>
      <c r="BN5" s="18"/>
      <c r="BO5" s="18"/>
      <c r="BQ5" s="18"/>
      <c r="BR5" s="18"/>
      <c r="BS5" s="18"/>
    </row>
    <row r="6" spans="1:73" x14ac:dyDescent="0.25">
      <c r="A6" s="7">
        <v>4</v>
      </c>
      <c r="B6" s="12"/>
      <c r="C6" s="13"/>
      <c r="D6" s="12"/>
      <c r="E6" s="13"/>
      <c r="F6" s="13"/>
      <c r="G6" s="13"/>
      <c r="H6" s="13"/>
      <c r="I6" s="39"/>
      <c r="J6" s="39"/>
      <c r="L6" s="21"/>
      <c r="M6" s="21"/>
      <c r="N6" s="21"/>
      <c r="O6" s="21"/>
      <c r="P6" s="21"/>
      <c r="Q6" s="21"/>
      <c r="R6" s="21"/>
      <c r="S6" s="21"/>
      <c r="T6" s="21"/>
      <c r="U6" s="21"/>
      <c r="V6" s="21"/>
      <c r="W6" s="21"/>
      <c r="X6" s="21"/>
      <c r="Y6" s="21"/>
      <c r="Z6" s="21"/>
      <c r="AA6" s="21"/>
      <c r="AB6" s="21"/>
      <c r="AC6" s="21"/>
      <c r="AD6" s="18"/>
      <c r="AE6" s="45"/>
      <c r="AF6" s="18"/>
      <c r="AG6" s="18"/>
      <c r="AH6" s="18"/>
      <c r="AI6" s="18"/>
      <c r="AJ6" s="18"/>
      <c r="AK6" s="18"/>
      <c r="AL6" s="42"/>
      <c r="AM6" s="42"/>
      <c r="AN6" s="42"/>
      <c r="AO6" s="42"/>
      <c r="AP6" s="42"/>
      <c r="AQ6" s="42"/>
      <c r="AR6" s="42"/>
      <c r="AS6" s="42"/>
      <c r="AT6" s="42"/>
      <c r="AU6" s="42"/>
      <c r="AV6" s="42"/>
      <c r="AW6" s="42"/>
      <c r="AX6" s="42"/>
      <c r="AY6" s="42"/>
      <c r="AZ6" s="42"/>
      <c r="BA6" s="19"/>
      <c r="BB6" s="19"/>
      <c r="BC6" s="19"/>
      <c r="BD6" s="19"/>
      <c r="BE6" s="19"/>
      <c r="BF6" s="19"/>
      <c r="BG6" s="19"/>
      <c r="BH6" s="19"/>
      <c r="BI6" s="19"/>
      <c r="BJ6" s="19"/>
      <c r="BK6" s="19"/>
      <c r="BL6" s="19"/>
      <c r="BM6" s="18"/>
      <c r="BN6" s="18"/>
      <c r="BO6" s="18"/>
      <c r="BQ6" s="18"/>
      <c r="BR6" s="18"/>
      <c r="BS6" s="18"/>
    </row>
    <row r="7" spans="1:73" x14ac:dyDescent="0.25">
      <c r="A7" s="7">
        <v>5</v>
      </c>
      <c r="B7" s="12"/>
      <c r="C7" s="13"/>
      <c r="D7" s="12"/>
      <c r="E7" s="16"/>
      <c r="F7" s="13"/>
      <c r="G7" s="13"/>
      <c r="H7" s="13"/>
      <c r="I7" s="39"/>
      <c r="J7" s="39"/>
      <c r="L7" s="21"/>
      <c r="M7" s="21"/>
      <c r="N7" s="18"/>
      <c r="O7" s="18"/>
      <c r="P7" s="18"/>
      <c r="Q7" s="21"/>
      <c r="R7" s="18"/>
      <c r="S7" s="18"/>
      <c r="T7" s="18"/>
      <c r="U7" s="18"/>
      <c r="V7" s="18"/>
      <c r="W7" s="18"/>
      <c r="X7" s="18"/>
      <c r="Y7" s="18"/>
      <c r="Z7" s="18"/>
      <c r="AA7" s="18"/>
      <c r="AB7" s="18"/>
      <c r="AC7" s="18"/>
      <c r="AD7" s="18"/>
      <c r="AE7" s="45"/>
      <c r="AF7" s="18"/>
      <c r="AG7" s="18"/>
      <c r="AH7" s="18"/>
      <c r="AI7" s="18"/>
      <c r="AJ7" s="18"/>
      <c r="AK7" s="18"/>
      <c r="AL7" s="42"/>
      <c r="AM7" s="42"/>
      <c r="AN7" s="42"/>
      <c r="AO7" s="42"/>
      <c r="AP7" s="42"/>
      <c r="AQ7" s="42"/>
      <c r="AR7" s="42"/>
      <c r="AS7" s="42"/>
      <c r="AT7" s="42"/>
      <c r="AU7" s="42"/>
      <c r="AV7" s="42"/>
      <c r="AW7" s="42"/>
      <c r="AX7" s="42"/>
      <c r="AY7" s="42"/>
      <c r="AZ7" s="42"/>
      <c r="BA7" s="19"/>
      <c r="BB7" s="19"/>
      <c r="BC7" s="19"/>
      <c r="BD7" s="19"/>
      <c r="BE7" s="19"/>
      <c r="BF7" s="19"/>
      <c r="BG7" s="19"/>
      <c r="BH7" s="19"/>
      <c r="BI7" s="19"/>
      <c r="BJ7" s="19"/>
      <c r="BK7" s="19"/>
      <c r="BL7" s="19"/>
      <c r="BM7" s="18"/>
      <c r="BN7" s="18"/>
      <c r="BO7" s="18"/>
      <c r="BQ7" s="18"/>
      <c r="BR7" s="18"/>
      <c r="BS7" s="18"/>
    </row>
    <row r="8" spans="1:73" x14ac:dyDescent="0.25">
      <c r="A8" s="7">
        <v>6</v>
      </c>
      <c r="B8" s="12"/>
      <c r="C8" s="13"/>
      <c r="D8" s="12"/>
      <c r="E8" s="13"/>
      <c r="F8" s="13"/>
      <c r="G8" s="13"/>
      <c r="H8" s="13"/>
      <c r="I8" s="39"/>
      <c r="J8" s="39"/>
      <c r="L8" s="21"/>
      <c r="M8" s="21"/>
      <c r="N8" s="18"/>
      <c r="O8" s="18"/>
      <c r="P8" s="18"/>
      <c r="Q8" s="21"/>
      <c r="R8" s="18"/>
      <c r="S8" s="18"/>
      <c r="T8" s="18"/>
      <c r="U8" s="18"/>
      <c r="V8" s="18"/>
      <c r="W8" s="18"/>
      <c r="X8" s="18"/>
      <c r="Y8" s="18"/>
      <c r="Z8" s="18"/>
      <c r="AA8" s="18"/>
      <c r="AB8" s="18"/>
      <c r="AC8" s="18"/>
      <c r="AD8" s="18"/>
      <c r="AE8" s="45"/>
      <c r="AF8" s="18"/>
      <c r="AG8" s="18"/>
      <c r="AH8" s="18"/>
      <c r="AI8" s="18"/>
      <c r="AJ8" s="18"/>
      <c r="AK8" s="18"/>
      <c r="AL8" s="42"/>
      <c r="AM8" s="42"/>
      <c r="AN8" s="42"/>
      <c r="AO8" s="42"/>
      <c r="AP8" s="42"/>
      <c r="AQ8" s="42"/>
      <c r="AR8" s="42"/>
      <c r="AS8" s="42"/>
      <c r="AT8" s="42"/>
      <c r="AU8" s="42"/>
      <c r="AV8" s="42"/>
      <c r="AW8" s="42"/>
      <c r="AX8" s="42"/>
      <c r="AY8" s="42"/>
      <c r="AZ8" s="42"/>
      <c r="BA8" s="19"/>
      <c r="BB8" s="19"/>
      <c r="BC8" s="19"/>
      <c r="BD8" s="19"/>
      <c r="BE8" s="19"/>
      <c r="BF8" s="19"/>
      <c r="BG8" s="19"/>
      <c r="BH8" s="19"/>
      <c r="BI8" s="19"/>
      <c r="BJ8" s="19"/>
      <c r="BK8" s="19"/>
      <c r="BL8" s="19"/>
      <c r="BM8" s="18"/>
      <c r="BN8" s="18"/>
      <c r="BO8" s="18"/>
      <c r="BQ8" s="18"/>
      <c r="BR8" s="18"/>
      <c r="BS8" s="18"/>
    </row>
    <row r="9" spans="1:73" x14ac:dyDescent="0.25">
      <c r="A9" s="7">
        <v>7</v>
      </c>
      <c r="B9" s="12"/>
      <c r="C9" s="13"/>
      <c r="D9" s="12"/>
      <c r="E9" s="13"/>
      <c r="F9" s="13"/>
      <c r="G9" s="13"/>
      <c r="H9" s="13"/>
      <c r="I9" s="39"/>
      <c r="J9" s="39"/>
      <c r="L9" s="21"/>
      <c r="M9" s="21"/>
      <c r="N9" s="18"/>
      <c r="O9" s="18"/>
      <c r="P9" s="18"/>
      <c r="Q9" s="21"/>
      <c r="R9" s="18"/>
      <c r="S9" s="18"/>
      <c r="T9" s="18"/>
      <c r="U9" s="18"/>
      <c r="V9" s="18"/>
      <c r="W9" s="18"/>
      <c r="X9" s="18"/>
      <c r="Y9" s="18"/>
      <c r="Z9" s="18"/>
      <c r="AA9" s="18"/>
      <c r="AB9" s="18"/>
      <c r="AC9" s="18"/>
      <c r="AD9" s="18"/>
      <c r="AE9" s="45"/>
      <c r="AF9" s="18"/>
      <c r="AG9" s="18"/>
      <c r="AH9" s="18"/>
      <c r="AI9" s="18"/>
      <c r="AJ9" s="18"/>
      <c r="AK9" s="18"/>
      <c r="AL9" s="42"/>
      <c r="AM9" s="42"/>
      <c r="AN9" s="42"/>
      <c r="AO9" s="42"/>
      <c r="AP9" s="42"/>
      <c r="AQ9" s="42"/>
      <c r="AR9" s="42"/>
      <c r="AS9" s="42"/>
      <c r="AT9" s="42"/>
      <c r="AU9" s="42"/>
      <c r="AV9" s="42"/>
      <c r="AW9" s="42"/>
      <c r="AX9" s="42"/>
      <c r="AY9" s="42"/>
      <c r="AZ9" s="42"/>
      <c r="BA9" s="19"/>
      <c r="BB9" s="19"/>
      <c r="BC9" s="19"/>
      <c r="BD9" s="19"/>
      <c r="BE9" s="19"/>
      <c r="BF9" s="19"/>
      <c r="BG9" s="19"/>
      <c r="BH9" s="19"/>
      <c r="BI9" s="19"/>
      <c r="BJ9" s="19"/>
      <c r="BK9" s="19"/>
      <c r="BL9" s="19"/>
      <c r="BM9" s="18"/>
      <c r="BN9" s="18"/>
      <c r="BO9" s="18"/>
      <c r="BQ9" s="18"/>
      <c r="BR9" s="18"/>
      <c r="BS9" s="18"/>
    </row>
    <row r="10" spans="1:73" x14ac:dyDescent="0.25">
      <c r="A10" s="7">
        <v>8</v>
      </c>
      <c r="B10" s="12"/>
      <c r="C10" s="13"/>
      <c r="D10" s="12"/>
      <c r="E10" s="13"/>
      <c r="F10" s="13"/>
      <c r="G10" s="13"/>
      <c r="H10" s="13"/>
      <c r="I10" s="39"/>
      <c r="J10" s="39"/>
      <c r="L10" s="21"/>
      <c r="M10" s="21"/>
      <c r="N10" s="18"/>
      <c r="O10" s="18"/>
      <c r="P10" s="18"/>
      <c r="Q10" s="21"/>
      <c r="R10" s="18"/>
      <c r="S10" s="18"/>
      <c r="T10" s="18"/>
      <c r="U10" s="18"/>
      <c r="V10" s="18"/>
      <c r="W10" s="18"/>
      <c r="X10" s="18"/>
      <c r="Y10" s="18"/>
      <c r="Z10" s="18"/>
      <c r="AA10" s="18"/>
      <c r="AB10" s="18"/>
      <c r="AC10" s="18"/>
      <c r="AD10" s="18"/>
      <c r="AE10" s="45"/>
      <c r="AF10" s="18"/>
      <c r="AG10" s="18"/>
      <c r="AH10" s="18"/>
      <c r="AI10" s="18"/>
      <c r="AJ10" s="18"/>
      <c r="AK10" s="18"/>
      <c r="AL10" s="42"/>
      <c r="AM10" s="42"/>
      <c r="AN10" s="42"/>
      <c r="AO10" s="42"/>
      <c r="AP10" s="42"/>
      <c r="AQ10" s="42"/>
      <c r="AR10" s="42"/>
      <c r="AS10" s="42"/>
      <c r="AT10" s="42"/>
      <c r="AU10" s="42"/>
      <c r="AV10" s="42"/>
      <c r="AW10" s="42"/>
      <c r="AX10" s="42"/>
      <c r="AY10" s="42"/>
      <c r="AZ10" s="42"/>
      <c r="BA10" s="19"/>
      <c r="BB10" s="19"/>
      <c r="BC10" s="19"/>
      <c r="BD10" s="19"/>
      <c r="BE10" s="19"/>
      <c r="BF10" s="19"/>
      <c r="BG10" s="19"/>
      <c r="BH10" s="19"/>
      <c r="BI10" s="19"/>
      <c r="BJ10" s="19"/>
      <c r="BK10" s="19"/>
      <c r="BL10" s="19"/>
      <c r="BM10" s="18"/>
      <c r="BN10" s="18"/>
      <c r="BO10" s="18"/>
      <c r="BQ10" s="18"/>
      <c r="BR10" s="18"/>
      <c r="BS10" s="18"/>
    </row>
    <row r="11" spans="1:73" x14ac:dyDescent="0.25">
      <c r="A11" s="7">
        <v>9</v>
      </c>
      <c r="B11" s="12"/>
      <c r="C11" s="13"/>
      <c r="D11" s="12"/>
      <c r="E11" s="13"/>
      <c r="F11" s="13"/>
      <c r="G11" s="13"/>
      <c r="H11" s="13"/>
      <c r="I11" s="39"/>
      <c r="J11" s="39"/>
      <c r="L11" s="21"/>
      <c r="M11" s="21"/>
      <c r="N11" s="18"/>
      <c r="O11" s="18"/>
      <c r="P11" s="18"/>
      <c r="Q11" s="21"/>
      <c r="R11" s="18"/>
      <c r="S11" s="18"/>
      <c r="T11" s="18"/>
      <c r="U11" s="18"/>
      <c r="V11" s="18"/>
      <c r="W11" s="18"/>
      <c r="X11" s="18"/>
      <c r="Y11" s="18"/>
      <c r="Z11" s="18"/>
      <c r="AA11" s="18"/>
      <c r="AB11" s="18"/>
      <c r="AC11" s="18"/>
      <c r="AD11" s="18"/>
      <c r="AE11" s="45"/>
      <c r="AF11" s="18"/>
      <c r="AG11" s="18"/>
      <c r="AH11" s="18"/>
      <c r="AI11" s="18"/>
      <c r="AJ11" s="18"/>
      <c r="AK11" s="18"/>
      <c r="AL11" s="42"/>
      <c r="AM11" s="42"/>
      <c r="AN11" s="42"/>
      <c r="AO11" s="42"/>
      <c r="AP11" s="42"/>
      <c r="AQ11" s="42"/>
      <c r="AR11" s="42"/>
      <c r="AS11" s="42"/>
      <c r="AT11" s="42"/>
      <c r="AU11" s="42"/>
      <c r="AV11" s="42"/>
      <c r="AW11" s="42"/>
      <c r="AX11" s="42"/>
      <c r="AY11" s="42"/>
      <c r="AZ11" s="42"/>
      <c r="BA11" s="19"/>
      <c r="BB11" s="19"/>
      <c r="BC11" s="19"/>
      <c r="BD11" s="19"/>
      <c r="BE11" s="19"/>
      <c r="BF11" s="19"/>
      <c r="BG11" s="19"/>
      <c r="BH11" s="19"/>
      <c r="BI11" s="19"/>
      <c r="BJ11" s="19"/>
      <c r="BK11" s="19"/>
      <c r="BL11" s="19"/>
      <c r="BM11" s="18"/>
      <c r="BN11" s="18"/>
      <c r="BO11" s="18"/>
      <c r="BQ11" s="18"/>
      <c r="BR11" s="18"/>
      <c r="BS11" s="18"/>
    </row>
    <row r="12" spans="1:73" x14ac:dyDescent="0.25">
      <c r="A12" s="7">
        <v>10</v>
      </c>
      <c r="B12" s="12"/>
      <c r="C12" s="13"/>
      <c r="D12" s="12"/>
      <c r="E12" s="13"/>
      <c r="F12" s="13"/>
      <c r="G12" s="13"/>
      <c r="H12" s="13"/>
      <c r="I12" s="39"/>
      <c r="J12" s="39"/>
      <c r="L12" s="21"/>
      <c r="M12" s="21"/>
      <c r="N12" s="18"/>
      <c r="O12" s="18"/>
      <c r="P12" s="18"/>
      <c r="Q12" s="21"/>
      <c r="R12" s="18"/>
      <c r="S12" s="18"/>
      <c r="T12" s="18"/>
      <c r="U12" s="18"/>
      <c r="V12" s="18"/>
      <c r="W12" s="18"/>
      <c r="X12" s="18"/>
      <c r="Y12" s="18"/>
      <c r="Z12" s="18"/>
      <c r="AA12" s="18"/>
      <c r="AB12" s="18"/>
      <c r="AC12" s="18"/>
      <c r="AD12" s="18"/>
      <c r="AE12" s="45"/>
      <c r="AF12" s="18"/>
      <c r="AG12" s="18"/>
      <c r="AH12" s="18"/>
      <c r="AI12" s="18"/>
      <c r="AJ12" s="18"/>
      <c r="AK12" s="18"/>
      <c r="AL12" s="42"/>
      <c r="AM12" s="42"/>
      <c r="AN12" s="42"/>
      <c r="AO12" s="42"/>
      <c r="AP12" s="42"/>
      <c r="AQ12" s="42"/>
      <c r="AR12" s="42"/>
      <c r="AS12" s="42"/>
      <c r="AT12" s="42"/>
      <c r="AU12" s="42"/>
      <c r="AV12" s="42"/>
      <c r="AW12" s="42"/>
      <c r="AX12" s="42"/>
      <c r="AY12" s="42"/>
      <c r="AZ12" s="42"/>
      <c r="BA12" s="19"/>
      <c r="BB12" s="19"/>
      <c r="BC12" s="19"/>
      <c r="BD12" s="19"/>
      <c r="BE12" s="19"/>
      <c r="BF12" s="19"/>
      <c r="BG12" s="19"/>
      <c r="BH12" s="19"/>
      <c r="BI12" s="19"/>
      <c r="BJ12" s="19"/>
      <c r="BK12" s="19"/>
      <c r="BL12" s="19"/>
      <c r="BM12" s="18"/>
      <c r="BN12" s="18"/>
      <c r="BO12" s="18"/>
      <c r="BQ12" s="18"/>
      <c r="BR12" s="18"/>
      <c r="BS12" s="18"/>
    </row>
    <row r="13" spans="1:73" x14ac:dyDescent="0.25">
      <c r="B13" s="5"/>
      <c r="C13" s="6"/>
      <c r="D13" s="5"/>
      <c r="E13" s="6"/>
      <c r="F13" s="6"/>
      <c r="L13" s="21"/>
      <c r="M13" s="21"/>
      <c r="N13" s="18"/>
      <c r="O13" s="18"/>
      <c r="P13" s="18"/>
      <c r="Q13" s="21"/>
      <c r="R13" s="18"/>
      <c r="S13" s="18"/>
      <c r="T13" s="18"/>
      <c r="U13" s="18"/>
      <c r="V13" s="18"/>
      <c r="W13" s="18"/>
      <c r="X13" s="18"/>
      <c r="Y13" s="18"/>
      <c r="Z13" s="18"/>
      <c r="AA13" s="18"/>
      <c r="AB13" s="18"/>
      <c r="AC13" s="18"/>
      <c r="AD13" s="18"/>
      <c r="AE13" s="45"/>
      <c r="AF13" s="18"/>
      <c r="AG13" s="18"/>
      <c r="AH13" s="18"/>
      <c r="AI13" s="18"/>
      <c r="AJ13" s="18"/>
      <c r="AK13" s="18"/>
      <c r="AL13" s="42"/>
      <c r="AM13" s="42"/>
      <c r="AN13" s="42"/>
      <c r="AO13" s="42"/>
      <c r="AP13" s="42"/>
      <c r="AQ13" s="42"/>
      <c r="AR13" s="42"/>
      <c r="AS13" s="42"/>
      <c r="AT13" s="42"/>
      <c r="AU13" s="42"/>
      <c r="AV13" s="42"/>
      <c r="AW13" s="42"/>
      <c r="AX13" s="42"/>
      <c r="AY13" s="42"/>
      <c r="AZ13" s="42"/>
      <c r="BA13" s="19"/>
      <c r="BB13" s="19"/>
      <c r="BC13" s="19"/>
      <c r="BD13" s="19"/>
      <c r="BE13" s="19"/>
      <c r="BF13" s="19"/>
      <c r="BG13" s="19"/>
      <c r="BH13" s="19"/>
      <c r="BI13" s="19"/>
      <c r="BJ13" s="19"/>
      <c r="BK13" s="19"/>
      <c r="BL13" s="19"/>
      <c r="BM13" s="18"/>
      <c r="BN13" s="18"/>
      <c r="BO13" s="18"/>
      <c r="BQ13" s="18"/>
      <c r="BR13" s="18"/>
      <c r="BS13" s="18"/>
    </row>
    <row r="14" spans="1:73" x14ac:dyDescent="0.25">
      <c r="I14" s="39"/>
      <c r="J14" s="39"/>
      <c r="L14" s="21"/>
      <c r="M14" s="21"/>
      <c r="N14" s="18"/>
      <c r="O14" s="18"/>
      <c r="P14" s="18"/>
      <c r="Q14" s="21"/>
      <c r="R14" s="18"/>
      <c r="S14" s="18"/>
      <c r="T14" s="18"/>
      <c r="U14" s="18"/>
      <c r="V14" s="18"/>
      <c r="W14" s="18"/>
      <c r="X14" s="18"/>
      <c r="Y14" s="18"/>
      <c r="Z14" s="18"/>
      <c r="AA14" s="18"/>
      <c r="AB14" s="18"/>
      <c r="AC14" s="18"/>
      <c r="AD14" s="18"/>
      <c r="AE14" s="45"/>
      <c r="AF14" s="18"/>
      <c r="AG14" s="18"/>
      <c r="AH14" s="18"/>
      <c r="AI14" s="18"/>
      <c r="AJ14" s="18"/>
      <c r="AK14" s="18"/>
      <c r="AL14" s="42"/>
      <c r="AM14" s="42"/>
      <c r="AN14" s="42"/>
      <c r="AO14" s="42"/>
      <c r="AP14" s="42"/>
      <c r="AQ14" s="42"/>
      <c r="AR14" s="42"/>
      <c r="AS14" s="42"/>
      <c r="AT14" s="42"/>
      <c r="AU14" s="42"/>
      <c r="AV14" s="42"/>
      <c r="AW14" s="42"/>
      <c r="AX14" s="42"/>
      <c r="AY14" s="42"/>
      <c r="AZ14" s="42"/>
      <c r="BA14" s="19"/>
      <c r="BB14" s="19"/>
      <c r="BC14" s="19"/>
      <c r="BD14" s="19"/>
      <c r="BE14" s="19"/>
      <c r="BF14" s="19"/>
      <c r="BG14" s="19"/>
      <c r="BH14" s="19"/>
      <c r="BI14" s="19"/>
      <c r="BJ14" s="19"/>
      <c r="BK14" s="19"/>
      <c r="BL14" s="19"/>
      <c r="BM14" s="18"/>
      <c r="BN14" s="18"/>
      <c r="BO14" s="18"/>
      <c r="BQ14" s="18"/>
      <c r="BR14" s="18"/>
      <c r="BS14" s="18"/>
    </row>
    <row r="15" spans="1:73" x14ac:dyDescent="0.25">
      <c r="B15" s="47" t="s">
        <v>11</v>
      </c>
      <c r="C15" s="47"/>
      <c r="D15" s="47"/>
      <c r="I15" s="39"/>
      <c r="J15" s="39"/>
      <c r="L15" s="21"/>
      <c r="M15" s="21"/>
      <c r="N15" s="18"/>
      <c r="O15" s="18"/>
      <c r="P15" s="18"/>
      <c r="Q15" s="21"/>
      <c r="R15" s="18"/>
      <c r="S15" s="18"/>
      <c r="T15" s="18"/>
      <c r="U15" s="18"/>
      <c r="V15" s="18"/>
      <c r="W15" s="18"/>
      <c r="X15" s="18"/>
      <c r="Y15" s="18"/>
      <c r="Z15" s="18"/>
      <c r="AA15" s="18"/>
      <c r="AB15" s="18"/>
      <c r="AC15" s="18"/>
      <c r="AD15" s="18"/>
      <c r="AE15" s="45"/>
      <c r="AF15" s="18"/>
      <c r="AG15" s="18"/>
      <c r="AH15" s="18"/>
      <c r="AI15" s="18"/>
      <c r="AJ15" s="18"/>
      <c r="AK15" s="18"/>
      <c r="AL15" s="42"/>
      <c r="AM15" s="42"/>
      <c r="AN15" s="42"/>
      <c r="AO15" s="42"/>
      <c r="AP15" s="42"/>
      <c r="AQ15" s="42"/>
      <c r="AR15" s="42"/>
      <c r="AS15" s="42"/>
      <c r="AT15" s="42"/>
      <c r="AU15" s="42"/>
      <c r="AV15" s="42"/>
      <c r="AW15" s="42"/>
      <c r="AX15" s="42"/>
      <c r="AY15" s="42"/>
      <c r="AZ15" s="42"/>
      <c r="BA15" s="19"/>
      <c r="BB15" s="19"/>
      <c r="BC15" s="19"/>
      <c r="BD15" s="19"/>
      <c r="BE15" s="19"/>
      <c r="BF15" s="19"/>
      <c r="BG15" s="19"/>
      <c r="BH15" s="19"/>
      <c r="BI15" s="19"/>
      <c r="BJ15" s="19"/>
      <c r="BK15" s="19"/>
      <c r="BL15" s="19"/>
      <c r="BM15" s="18"/>
      <c r="BN15" s="18"/>
      <c r="BO15" s="18"/>
      <c r="BQ15" s="18"/>
      <c r="BR15" s="18"/>
      <c r="BS15" s="18"/>
    </row>
    <row r="16" spans="1:73" x14ac:dyDescent="0.25">
      <c r="A16" s="7" t="s">
        <v>9</v>
      </c>
      <c r="B16" s="11" t="s">
        <v>4</v>
      </c>
      <c r="C16" s="7" t="s">
        <v>3</v>
      </c>
      <c r="D16" s="11" t="s">
        <v>8</v>
      </c>
      <c r="F16" s="20" t="s">
        <v>18</v>
      </c>
      <c r="G16" s="13">
        <v>46</v>
      </c>
      <c r="I16" s="39"/>
      <c r="J16" s="39"/>
      <c r="L16" s="21"/>
      <c r="M16" s="21"/>
      <c r="N16" s="18"/>
      <c r="O16" s="18"/>
      <c r="P16" s="18"/>
      <c r="Q16" s="21"/>
      <c r="R16" s="18"/>
      <c r="S16" s="18"/>
      <c r="T16" s="18"/>
      <c r="U16" s="18"/>
      <c r="V16" s="18"/>
      <c r="W16" s="18"/>
      <c r="X16" s="18"/>
      <c r="Y16" s="18"/>
      <c r="Z16" s="18"/>
      <c r="AA16" s="18"/>
      <c r="AB16" s="18"/>
      <c r="AC16" s="18"/>
      <c r="AD16" s="18"/>
      <c r="AE16" s="45"/>
      <c r="AF16" s="18"/>
      <c r="AG16" s="18"/>
      <c r="AH16" s="18"/>
      <c r="AI16" s="18"/>
      <c r="AJ16" s="18"/>
      <c r="AK16" s="18"/>
      <c r="AL16" s="42"/>
      <c r="AM16" s="42"/>
      <c r="AN16" s="42"/>
      <c r="AO16" s="42"/>
      <c r="AP16" s="42"/>
      <c r="AQ16" s="42"/>
      <c r="AR16" s="42"/>
      <c r="AS16" s="42"/>
      <c r="AT16" s="42"/>
      <c r="AU16" s="42"/>
      <c r="AV16" s="42"/>
      <c r="AW16" s="42"/>
      <c r="AX16" s="42"/>
      <c r="AY16" s="42"/>
      <c r="AZ16" s="42"/>
      <c r="BA16" s="19"/>
      <c r="BB16" s="19"/>
      <c r="BC16" s="19"/>
      <c r="BD16" s="19"/>
      <c r="BE16" s="19"/>
      <c r="BF16" s="19"/>
      <c r="BG16" s="19"/>
      <c r="BH16" s="19"/>
      <c r="BI16" s="19"/>
      <c r="BJ16" s="19"/>
      <c r="BK16" s="19"/>
      <c r="BL16" s="19"/>
      <c r="BM16" s="18"/>
      <c r="BN16" s="18"/>
      <c r="BO16" s="18"/>
      <c r="BQ16" s="18"/>
      <c r="BR16" s="18"/>
      <c r="BS16" s="18"/>
    </row>
    <row r="17" spans="1:71" x14ac:dyDescent="0.25">
      <c r="A17" s="7">
        <v>1</v>
      </c>
      <c r="B17" s="14" t="s">
        <v>102</v>
      </c>
      <c r="C17" s="13">
        <v>1</v>
      </c>
      <c r="D17" s="17" t="s">
        <v>103</v>
      </c>
      <c r="I17" s="39"/>
      <c r="J17" s="39"/>
      <c r="L17" s="21"/>
      <c r="M17" s="21"/>
      <c r="N17" s="18"/>
      <c r="O17" s="18"/>
      <c r="P17" s="18"/>
      <c r="Q17" s="21"/>
      <c r="R17" s="18"/>
      <c r="S17" s="18"/>
      <c r="T17" s="18"/>
      <c r="U17" s="18"/>
      <c r="V17" s="18"/>
      <c r="W17" s="18"/>
      <c r="X17" s="18"/>
      <c r="Y17" s="18"/>
      <c r="Z17" s="18"/>
      <c r="AA17" s="18"/>
      <c r="AB17" s="18"/>
      <c r="AC17" s="18"/>
      <c r="AD17" s="18"/>
      <c r="AE17" s="45"/>
      <c r="AF17" s="18"/>
      <c r="AG17" s="18"/>
      <c r="AH17" s="18"/>
      <c r="AI17" s="18"/>
      <c r="AJ17" s="18"/>
      <c r="AK17" s="18"/>
      <c r="AL17" s="42"/>
      <c r="AM17" s="42"/>
      <c r="AN17" s="42"/>
      <c r="AO17" s="42"/>
      <c r="AP17" s="42"/>
      <c r="AQ17" s="42"/>
      <c r="AR17" s="42"/>
      <c r="AS17" s="42"/>
      <c r="AT17" s="42"/>
      <c r="AU17" s="42"/>
      <c r="AV17" s="42"/>
      <c r="AW17" s="42"/>
      <c r="AX17" s="42"/>
      <c r="AY17" s="42"/>
      <c r="AZ17" s="42"/>
      <c r="BA17" s="19"/>
      <c r="BB17" s="19"/>
      <c r="BC17" s="19"/>
      <c r="BD17" s="19"/>
      <c r="BE17" s="19"/>
      <c r="BF17" s="19"/>
      <c r="BG17" s="19"/>
      <c r="BH17" s="19"/>
      <c r="BI17" s="19"/>
      <c r="BJ17" s="19"/>
      <c r="BK17" s="19"/>
      <c r="BL17" s="19"/>
      <c r="BM17" s="18"/>
      <c r="BN17" s="18"/>
      <c r="BO17" s="18"/>
      <c r="BQ17" s="18"/>
      <c r="BR17" s="18"/>
      <c r="BS17" s="18"/>
    </row>
    <row r="18" spans="1:71" x14ac:dyDescent="0.25">
      <c r="A18" s="7">
        <v>2</v>
      </c>
      <c r="B18" s="14" t="s">
        <v>104</v>
      </c>
      <c r="C18" s="13">
        <v>2</v>
      </c>
      <c r="D18" s="17" t="s">
        <v>30</v>
      </c>
      <c r="I18" s="4"/>
      <c r="L18" s="21"/>
      <c r="M18" s="21"/>
      <c r="N18" s="18"/>
      <c r="O18" s="18"/>
      <c r="P18" s="18"/>
      <c r="Q18" s="21"/>
      <c r="R18" s="18"/>
      <c r="S18" s="18"/>
      <c r="T18" s="18"/>
      <c r="U18" s="18"/>
      <c r="V18" s="18"/>
      <c r="W18" s="18"/>
      <c r="X18" s="18"/>
      <c r="Y18" s="18"/>
      <c r="Z18" s="18"/>
      <c r="AA18" s="18"/>
      <c r="AB18" s="18"/>
      <c r="AC18" s="18"/>
      <c r="AD18" s="18"/>
      <c r="AE18" s="45"/>
      <c r="AF18" s="18"/>
      <c r="AG18" s="18"/>
      <c r="AH18" s="18"/>
      <c r="AI18" s="18"/>
      <c r="AJ18" s="18"/>
      <c r="AK18" s="18"/>
      <c r="AL18" s="42"/>
      <c r="AM18" s="42"/>
      <c r="AN18" s="42"/>
      <c r="AO18" s="42"/>
      <c r="AP18" s="42"/>
      <c r="AQ18" s="42"/>
      <c r="AR18" s="42"/>
      <c r="AS18" s="42"/>
      <c r="AT18" s="42"/>
      <c r="AU18" s="42"/>
      <c r="AV18" s="42"/>
      <c r="AW18" s="42"/>
      <c r="AX18" s="42"/>
      <c r="AY18" s="42"/>
      <c r="AZ18" s="42"/>
      <c r="BA18" s="19"/>
      <c r="BB18" s="19"/>
      <c r="BC18" s="19"/>
      <c r="BD18" s="19"/>
      <c r="BE18" s="19"/>
      <c r="BF18" s="19"/>
      <c r="BG18" s="19"/>
      <c r="BH18" s="19"/>
      <c r="BI18" s="19"/>
      <c r="BJ18" s="19"/>
      <c r="BK18" s="19"/>
      <c r="BL18" s="19"/>
      <c r="BM18" s="18"/>
      <c r="BN18" s="18"/>
      <c r="BO18" s="18"/>
      <c r="BQ18" s="18"/>
      <c r="BR18" s="18"/>
      <c r="BS18" s="18"/>
    </row>
    <row r="19" spans="1:71" x14ac:dyDescent="0.25">
      <c r="A19" s="7">
        <v>3</v>
      </c>
      <c r="B19" s="14" t="s">
        <v>110</v>
      </c>
      <c r="C19" s="13">
        <v>7</v>
      </c>
      <c r="D19" s="17" t="s">
        <v>113</v>
      </c>
      <c r="I19" s="3"/>
      <c r="L19" s="21"/>
      <c r="M19" s="21"/>
      <c r="N19" s="18"/>
      <c r="O19" s="18"/>
      <c r="P19" s="18"/>
      <c r="Q19" s="21"/>
      <c r="R19" s="18"/>
      <c r="S19" s="18"/>
      <c r="T19" s="18"/>
      <c r="U19" s="18"/>
      <c r="V19" s="18"/>
      <c r="W19" s="18"/>
      <c r="X19" s="18"/>
      <c r="Y19" s="18"/>
      <c r="Z19" s="18"/>
      <c r="AA19" s="18"/>
      <c r="AB19" s="18"/>
      <c r="AC19" s="18"/>
      <c r="AD19" s="18"/>
      <c r="AE19" s="45"/>
      <c r="AF19" s="18"/>
      <c r="AG19" s="18"/>
      <c r="AH19" s="18"/>
      <c r="AI19" s="18"/>
      <c r="AJ19" s="18"/>
      <c r="AK19" s="18"/>
      <c r="AL19" s="42"/>
      <c r="AM19" s="42"/>
      <c r="AN19" s="42"/>
      <c r="AO19" s="42"/>
      <c r="AP19" s="42"/>
      <c r="AQ19" s="42"/>
      <c r="AR19" s="42"/>
      <c r="AS19" s="42"/>
      <c r="AT19" s="42"/>
      <c r="AU19" s="42"/>
      <c r="AV19" s="42"/>
      <c r="AW19" s="42"/>
      <c r="AX19" s="42"/>
      <c r="AY19" s="42"/>
      <c r="AZ19" s="42"/>
      <c r="BA19" s="19"/>
      <c r="BB19" s="19"/>
      <c r="BC19" s="19"/>
      <c r="BD19" s="19"/>
      <c r="BE19" s="19"/>
      <c r="BF19" s="19"/>
      <c r="BG19" s="19"/>
      <c r="BH19" s="19"/>
      <c r="BI19" s="19"/>
      <c r="BJ19" s="19"/>
      <c r="BK19" s="19"/>
      <c r="BL19" s="19"/>
      <c r="BM19" s="18"/>
      <c r="BN19" s="18"/>
      <c r="BO19" s="18"/>
      <c r="BQ19" s="18"/>
      <c r="BR19" s="18"/>
      <c r="BS19" s="18"/>
    </row>
    <row r="20" spans="1:71" x14ac:dyDescent="0.25">
      <c r="A20" s="7">
        <v>4</v>
      </c>
      <c r="B20" s="14" t="s">
        <v>111</v>
      </c>
      <c r="C20" s="13">
        <v>8</v>
      </c>
      <c r="D20" s="17" t="s">
        <v>92</v>
      </c>
      <c r="I20" s="3"/>
      <c r="L20" s="21"/>
      <c r="M20" s="21"/>
      <c r="N20" s="18"/>
      <c r="O20" s="18"/>
      <c r="P20" s="18"/>
      <c r="Q20" s="21"/>
      <c r="R20" s="18"/>
      <c r="S20" s="18"/>
      <c r="T20" s="18"/>
      <c r="U20" s="18"/>
      <c r="V20" s="18"/>
      <c r="W20" s="18"/>
      <c r="X20" s="18"/>
      <c r="Y20" s="18"/>
      <c r="Z20" s="18"/>
      <c r="AA20" s="18"/>
      <c r="AB20" s="18"/>
      <c r="AC20" s="18"/>
      <c r="AD20" s="18"/>
      <c r="AE20" s="45"/>
      <c r="AF20" s="18"/>
      <c r="AG20" s="18"/>
      <c r="AH20" s="18"/>
      <c r="AI20" s="18"/>
      <c r="AJ20" s="18"/>
      <c r="AK20" s="18"/>
      <c r="AL20" s="42"/>
      <c r="AM20" s="42"/>
      <c r="AN20" s="42"/>
      <c r="AO20" s="42"/>
      <c r="AP20" s="42"/>
      <c r="AQ20" s="42"/>
      <c r="AR20" s="42"/>
      <c r="AS20" s="42"/>
      <c r="AT20" s="42"/>
      <c r="AU20" s="42"/>
      <c r="AV20" s="42"/>
      <c r="AW20" s="42"/>
      <c r="AX20" s="42"/>
      <c r="AY20" s="42"/>
      <c r="AZ20" s="42"/>
      <c r="BA20" s="19"/>
      <c r="BB20" s="19"/>
      <c r="BC20" s="19"/>
      <c r="BD20" s="19"/>
      <c r="BE20" s="19"/>
      <c r="BF20" s="19"/>
      <c r="BG20" s="19"/>
      <c r="BH20" s="19"/>
      <c r="BI20" s="19"/>
      <c r="BJ20" s="19"/>
      <c r="BK20" s="19"/>
      <c r="BL20" s="19"/>
      <c r="BM20" s="18"/>
      <c r="BN20" s="18"/>
      <c r="BO20" s="18"/>
      <c r="BQ20" s="18"/>
      <c r="BR20" s="18"/>
      <c r="BS20" s="18"/>
    </row>
    <row r="21" spans="1:71" x14ac:dyDescent="0.25">
      <c r="A21" s="7">
        <v>5</v>
      </c>
      <c r="B21" s="14" t="s">
        <v>112</v>
      </c>
      <c r="C21" s="13">
        <v>9</v>
      </c>
      <c r="D21" s="17" t="s">
        <v>96</v>
      </c>
      <c r="L21" s="21"/>
      <c r="M21" s="21"/>
      <c r="N21" s="18"/>
      <c r="O21" s="18"/>
      <c r="P21" s="18"/>
      <c r="Q21" s="21"/>
      <c r="R21" s="18"/>
      <c r="S21" s="18"/>
      <c r="T21" s="18"/>
      <c r="U21" s="18"/>
      <c r="V21" s="18"/>
      <c r="W21" s="18"/>
      <c r="X21" s="18"/>
      <c r="Y21" s="18"/>
      <c r="Z21" s="18"/>
      <c r="AA21" s="18"/>
      <c r="AB21" s="18"/>
      <c r="AC21" s="18"/>
      <c r="AD21" s="18"/>
      <c r="AE21" s="45"/>
      <c r="AF21" s="18"/>
      <c r="AG21" s="18"/>
      <c r="AH21" s="18"/>
      <c r="AI21" s="18"/>
      <c r="AJ21" s="18"/>
      <c r="AK21" s="18"/>
      <c r="AL21" s="42"/>
      <c r="AM21" s="42"/>
      <c r="AN21" s="42"/>
      <c r="AO21" s="42"/>
      <c r="AP21" s="42"/>
      <c r="AQ21" s="42"/>
      <c r="AR21" s="42"/>
      <c r="AS21" s="42"/>
      <c r="AT21" s="42"/>
      <c r="AU21" s="42"/>
      <c r="AV21" s="42"/>
      <c r="AW21" s="42"/>
      <c r="AX21" s="42"/>
      <c r="AY21" s="42"/>
      <c r="AZ21" s="42"/>
      <c r="BA21" s="19"/>
      <c r="BB21" s="19"/>
      <c r="BC21" s="19"/>
      <c r="BD21" s="19"/>
      <c r="BE21" s="19"/>
      <c r="BF21" s="19"/>
      <c r="BG21" s="19"/>
      <c r="BH21" s="19"/>
      <c r="BI21" s="19"/>
      <c r="BJ21" s="19"/>
      <c r="BK21" s="19"/>
      <c r="BL21" s="19"/>
      <c r="BM21" s="18"/>
      <c r="BN21" s="18"/>
      <c r="BO21" s="18"/>
      <c r="BQ21" s="18"/>
      <c r="BR21" s="18"/>
      <c r="BS21" s="18"/>
    </row>
    <row r="22" spans="1:71" x14ac:dyDescent="0.25">
      <c r="A22" s="7">
        <v>6</v>
      </c>
      <c r="B22" s="14" t="s">
        <v>114</v>
      </c>
      <c r="C22" s="13">
        <v>10</v>
      </c>
      <c r="D22" s="17" t="s">
        <v>95</v>
      </c>
      <c r="L22" s="21"/>
      <c r="M22" s="21"/>
      <c r="N22" s="18"/>
      <c r="O22" s="18"/>
      <c r="P22" s="18"/>
      <c r="Q22" s="21"/>
      <c r="R22" s="18"/>
      <c r="S22" s="18"/>
      <c r="T22" s="18"/>
      <c r="U22" s="18"/>
      <c r="V22" s="18"/>
      <c r="W22" s="18"/>
      <c r="X22" s="18"/>
      <c r="Y22" s="18"/>
      <c r="Z22" s="18"/>
      <c r="AA22" s="18"/>
      <c r="AB22" s="18"/>
      <c r="AC22" s="18"/>
      <c r="AD22" s="18"/>
      <c r="AE22" s="45"/>
      <c r="AF22" s="18"/>
      <c r="AG22" s="18"/>
      <c r="AH22" s="18"/>
      <c r="AI22" s="18"/>
      <c r="AJ22" s="18"/>
      <c r="AK22" s="18"/>
      <c r="AL22" s="42"/>
      <c r="AM22" s="42"/>
      <c r="AN22" s="42"/>
      <c r="AO22" s="42"/>
      <c r="AP22" s="42"/>
      <c r="AQ22" s="42"/>
      <c r="AR22" s="42"/>
      <c r="AS22" s="42"/>
      <c r="AT22" s="42"/>
      <c r="AU22" s="42"/>
      <c r="AV22" s="42"/>
      <c r="AW22" s="42"/>
      <c r="AX22" s="42"/>
      <c r="AY22" s="42"/>
      <c r="AZ22" s="42"/>
      <c r="BA22" s="19"/>
      <c r="BB22" s="19"/>
      <c r="BC22" s="19"/>
      <c r="BD22" s="19"/>
      <c r="BE22" s="19"/>
      <c r="BF22" s="19"/>
      <c r="BG22" s="19"/>
      <c r="BH22" s="19"/>
      <c r="BI22" s="19"/>
      <c r="BJ22" s="19"/>
      <c r="BK22" s="19"/>
      <c r="BL22" s="19"/>
      <c r="BM22" s="18"/>
      <c r="BN22" s="18"/>
      <c r="BO22" s="18"/>
      <c r="BQ22" s="18"/>
      <c r="BR22" s="18"/>
      <c r="BS22" s="18"/>
    </row>
    <row r="23" spans="1:71" x14ac:dyDescent="0.25">
      <c r="A23" s="7">
        <v>7</v>
      </c>
      <c r="B23" s="14" t="s">
        <v>116</v>
      </c>
      <c r="C23" s="13">
        <v>12</v>
      </c>
      <c r="D23" s="17" t="s">
        <v>120</v>
      </c>
      <c r="L23" s="21"/>
      <c r="M23" s="21"/>
      <c r="N23" s="18"/>
      <c r="O23" s="18"/>
      <c r="P23" s="18"/>
      <c r="Q23" s="21"/>
      <c r="R23" s="18"/>
      <c r="S23" s="18"/>
      <c r="T23" s="18"/>
      <c r="U23" s="18"/>
      <c r="V23" s="18"/>
      <c r="W23" s="18"/>
      <c r="X23" s="18"/>
      <c r="Y23" s="18"/>
      <c r="Z23" s="18"/>
      <c r="AA23" s="18"/>
      <c r="AB23" s="18"/>
      <c r="AC23" s="18"/>
      <c r="AD23" s="18"/>
      <c r="AE23" s="45"/>
      <c r="AF23" s="18"/>
      <c r="AG23" s="18"/>
      <c r="AH23" s="18"/>
      <c r="AI23" s="18"/>
      <c r="AJ23" s="18"/>
      <c r="AK23" s="18"/>
      <c r="AL23" s="42"/>
      <c r="AM23" s="42"/>
      <c r="AN23" s="42"/>
      <c r="AO23" s="42"/>
      <c r="AP23" s="42"/>
      <c r="AQ23" s="42"/>
      <c r="AR23" s="42"/>
      <c r="AS23" s="42"/>
      <c r="AT23" s="42"/>
      <c r="AU23" s="42"/>
      <c r="AV23" s="42"/>
      <c r="AW23" s="42"/>
      <c r="AX23" s="42"/>
      <c r="AY23" s="42"/>
      <c r="AZ23" s="42"/>
      <c r="BA23" s="19"/>
      <c r="BB23" s="19"/>
      <c r="BC23" s="19"/>
      <c r="BD23" s="19"/>
      <c r="BE23" s="19"/>
      <c r="BF23" s="19"/>
      <c r="BG23" s="19"/>
      <c r="BH23" s="19"/>
      <c r="BI23" s="19"/>
      <c r="BJ23" s="19"/>
      <c r="BK23" s="19"/>
      <c r="BL23" s="19"/>
      <c r="BM23" s="18"/>
      <c r="BN23" s="18"/>
      <c r="BO23" s="18"/>
      <c r="BQ23" s="18"/>
      <c r="BR23" s="18"/>
      <c r="BS23" s="18"/>
    </row>
    <row r="24" spans="1:71" x14ac:dyDescent="0.25">
      <c r="A24" s="7">
        <v>8</v>
      </c>
      <c r="B24" s="14" t="s">
        <v>117</v>
      </c>
      <c r="C24" s="13">
        <v>13</v>
      </c>
      <c r="D24" s="17" t="s">
        <v>93</v>
      </c>
      <c r="F24" s="29" t="s">
        <v>59</v>
      </c>
      <c r="G24" s="30"/>
      <c r="H24" s="2" t="s">
        <v>61</v>
      </c>
      <c r="L24" s="21"/>
      <c r="M24" s="21"/>
      <c r="N24" s="18"/>
      <c r="O24" s="18"/>
      <c r="P24" s="18"/>
      <c r="Q24" s="21"/>
      <c r="R24" s="18"/>
      <c r="S24" s="18"/>
      <c r="T24" s="18"/>
      <c r="U24" s="18"/>
      <c r="V24" s="18"/>
      <c r="W24" s="18"/>
      <c r="X24" s="18"/>
      <c r="Y24" s="18"/>
      <c r="Z24" s="18"/>
      <c r="AA24" s="18"/>
      <c r="AB24" s="18"/>
      <c r="AC24" s="18"/>
      <c r="AD24" s="18"/>
      <c r="AE24" s="45"/>
      <c r="AF24" s="18"/>
      <c r="AG24" s="18"/>
      <c r="AH24" s="18"/>
      <c r="AI24" s="18"/>
      <c r="AJ24" s="18"/>
      <c r="AK24" s="18"/>
      <c r="AL24" s="42"/>
      <c r="AM24" s="42"/>
      <c r="AN24" s="42"/>
      <c r="AO24" s="42"/>
      <c r="AP24" s="42"/>
      <c r="AQ24" s="42"/>
      <c r="AR24" s="42"/>
      <c r="AS24" s="42"/>
      <c r="AT24" s="42"/>
      <c r="AU24" s="42"/>
      <c r="AV24" s="42"/>
      <c r="AW24" s="42"/>
      <c r="AX24" s="42"/>
      <c r="AY24" s="42"/>
      <c r="AZ24" s="42"/>
      <c r="BA24" s="19"/>
      <c r="BB24" s="19"/>
      <c r="BC24" s="19"/>
      <c r="BD24" s="19"/>
      <c r="BE24" s="19"/>
      <c r="BF24" s="19"/>
      <c r="BG24" s="19"/>
      <c r="BH24" s="19"/>
      <c r="BI24" s="19"/>
      <c r="BJ24" s="19"/>
      <c r="BK24" s="19"/>
      <c r="BL24" s="19"/>
      <c r="BM24" s="18"/>
      <c r="BN24" s="18"/>
      <c r="BO24" s="18"/>
      <c r="BQ24" s="18"/>
      <c r="BR24" s="18"/>
      <c r="BS24" s="18"/>
    </row>
    <row r="25" spans="1:71" x14ac:dyDescent="0.25">
      <c r="A25" s="7">
        <v>9</v>
      </c>
      <c r="B25" s="14" t="s">
        <v>118</v>
      </c>
      <c r="C25" s="13">
        <v>14</v>
      </c>
      <c r="D25" s="17">
        <v>1</v>
      </c>
      <c r="F25" s="29" t="s">
        <v>60</v>
      </c>
      <c r="G25" s="13"/>
      <c r="H25" s="2" t="s">
        <v>62</v>
      </c>
      <c r="L25" s="21"/>
      <c r="M25" s="21"/>
      <c r="N25" s="18"/>
      <c r="O25" s="18"/>
      <c r="P25" s="18"/>
      <c r="Q25" s="21"/>
      <c r="R25" s="18"/>
      <c r="S25" s="18"/>
      <c r="T25" s="18"/>
      <c r="U25" s="18"/>
      <c r="V25" s="18"/>
      <c r="W25" s="18"/>
      <c r="X25" s="18"/>
      <c r="Y25" s="18"/>
      <c r="Z25" s="18"/>
      <c r="AA25" s="18"/>
      <c r="AB25" s="18"/>
      <c r="AC25" s="18"/>
      <c r="AD25" s="18"/>
      <c r="AE25" s="45"/>
      <c r="AF25" s="18"/>
      <c r="AG25" s="18"/>
      <c r="AH25" s="18"/>
      <c r="AI25" s="18"/>
      <c r="AJ25" s="18"/>
      <c r="AK25" s="18"/>
      <c r="AL25" s="42"/>
      <c r="AM25" s="42"/>
      <c r="AN25" s="42"/>
      <c r="AO25" s="42"/>
      <c r="AP25" s="42"/>
      <c r="AQ25" s="42"/>
      <c r="AR25" s="42"/>
      <c r="AS25" s="42"/>
      <c r="AT25" s="42"/>
      <c r="AU25" s="42"/>
      <c r="AV25" s="42"/>
      <c r="AW25" s="42"/>
      <c r="AX25" s="42"/>
      <c r="AY25" s="42"/>
      <c r="AZ25" s="42"/>
      <c r="BA25" s="19"/>
      <c r="BB25" s="19"/>
      <c r="BC25" s="19"/>
      <c r="BD25" s="19"/>
      <c r="BE25" s="19"/>
      <c r="BF25" s="19"/>
      <c r="BG25" s="19"/>
      <c r="BH25" s="19"/>
      <c r="BI25" s="19"/>
      <c r="BJ25" s="19"/>
      <c r="BK25" s="19"/>
      <c r="BL25" s="19"/>
      <c r="BM25" s="18"/>
      <c r="BN25" s="18"/>
      <c r="BO25" s="18"/>
      <c r="BQ25" s="18"/>
      <c r="BR25" s="18"/>
      <c r="BS25" s="18"/>
    </row>
    <row r="26" spans="1:71" x14ac:dyDescent="0.25">
      <c r="A26" s="7">
        <v>10</v>
      </c>
      <c r="B26" s="14" t="s">
        <v>119</v>
      </c>
      <c r="C26" s="13">
        <v>15</v>
      </c>
      <c r="D26" s="17" t="s">
        <v>120</v>
      </c>
      <c r="L26" s="21"/>
      <c r="M26" s="21"/>
      <c r="N26" s="18"/>
      <c r="O26" s="18"/>
      <c r="P26" s="18"/>
      <c r="Q26" s="21"/>
      <c r="R26" s="18"/>
      <c r="S26" s="18"/>
      <c r="T26" s="18"/>
      <c r="U26" s="18"/>
      <c r="V26" s="18"/>
      <c r="W26" s="18"/>
      <c r="X26" s="18"/>
      <c r="Y26" s="18"/>
      <c r="Z26" s="18"/>
      <c r="AA26" s="18"/>
      <c r="AB26" s="18"/>
      <c r="AC26" s="18"/>
      <c r="AD26" s="18"/>
      <c r="AE26" s="45"/>
      <c r="AF26" s="18"/>
      <c r="AG26" s="18"/>
      <c r="AH26" s="18"/>
      <c r="AI26" s="18"/>
      <c r="AJ26" s="18"/>
      <c r="AK26" s="18"/>
      <c r="AL26" s="42"/>
      <c r="AM26" s="42"/>
      <c r="AN26" s="42"/>
      <c r="AO26" s="42"/>
      <c r="AP26" s="42"/>
      <c r="AQ26" s="42"/>
      <c r="AR26" s="42"/>
      <c r="AS26" s="42"/>
      <c r="AT26" s="42"/>
      <c r="AU26" s="42"/>
      <c r="AV26" s="42"/>
      <c r="AW26" s="42"/>
      <c r="AX26" s="42"/>
      <c r="AY26" s="42"/>
      <c r="AZ26" s="42"/>
      <c r="BA26" s="19"/>
      <c r="BB26" s="19"/>
      <c r="BC26" s="19"/>
      <c r="BD26" s="19"/>
      <c r="BE26" s="19"/>
      <c r="BF26" s="19"/>
      <c r="BG26" s="19"/>
      <c r="BH26" s="19"/>
      <c r="BI26" s="19"/>
      <c r="BJ26" s="19"/>
      <c r="BK26" s="19"/>
      <c r="BL26" s="19"/>
      <c r="BM26" s="18"/>
      <c r="BN26" s="18"/>
      <c r="BO26" s="18"/>
      <c r="BQ26" s="18"/>
      <c r="BR26" s="18"/>
      <c r="BS26" s="18"/>
    </row>
    <row r="27" spans="1:71" x14ac:dyDescent="0.25">
      <c r="A27" s="7">
        <v>11</v>
      </c>
      <c r="B27" s="14" t="s">
        <v>126</v>
      </c>
      <c r="C27" s="13">
        <v>21</v>
      </c>
      <c r="D27" s="17" t="s">
        <v>93</v>
      </c>
      <c r="L27" s="21"/>
      <c r="M27" s="21"/>
      <c r="N27" s="18"/>
      <c r="O27" s="18"/>
      <c r="P27" s="18"/>
      <c r="Q27" s="21"/>
      <c r="R27" s="18"/>
      <c r="S27" s="18"/>
      <c r="T27" s="18"/>
      <c r="U27" s="18"/>
      <c r="V27" s="18"/>
      <c r="W27" s="18"/>
      <c r="X27" s="18"/>
      <c r="Y27" s="18"/>
      <c r="Z27" s="18"/>
      <c r="AA27" s="18"/>
      <c r="AB27" s="18"/>
      <c r="AC27" s="18"/>
      <c r="AD27" s="18"/>
      <c r="AE27" s="45"/>
      <c r="AF27" s="18"/>
      <c r="AG27" s="18"/>
      <c r="AH27" s="18"/>
      <c r="AI27" s="18"/>
      <c r="AJ27" s="18"/>
      <c r="AK27" s="18"/>
      <c r="AL27" s="42"/>
      <c r="AM27" s="42"/>
      <c r="AN27" s="42"/>
      <c r="AO27" s="42"/>
      <c r="AP27" s="42"/>
      <c r="AQ27" s="42"/>
      <c r="AR27" s="42"/>
      <c r="AS27" s="42"/>
      <c r="AT27" s="42"/>
      <c r="AU27" s="42"/>
      <c r="AV27" s="42"/>
      <c r="AW27" s="42"/>
      <c r="AX27" s="42"/>
      <c r="AY27" s="42"/>
      <c r="AZ27" s="42"/>
      <c r="BA27" s="19"/>
      <c r="BB27" s="19"/>
      <c r="BC27" s="19"/>
      <c r="BD27" s="19"/>
      <c r="BE27" s="19"/>
      <c r="BF27" s="19"/>
      <c r="BG27" s="19"/>
      <c r="BH27" s="19"/>
      <c r="BI27" s="19"/>
      <c r="BJ27" s="19"/>
      <c r="BK27" s="19"/>
      <c r="BL27" s="19"/>
      <c r="BM27" s="18"/>
      <c r="BN27" s="18"/>
      <c r="BO27" s="18"/>
      <c r="BQ27" s="18"/>
      <c r="BR27" s="18"/>
      <c r="BS27" s="18"/>
    </row>
    <row r="28" spans="1:71" x14ac:dyDescent="0.25">
      <c r="A28" s="7">
        <v>12</v>
      </c>
      <c r="B28" s="14" t="s">
        <v>127</v>
      </c>
      <c r="C28" s="13">
        <v>22</v>
      </c>
      <c r="D28" s="17" t="s">
        <v>93</v>
      </c>
      <c r="L28" s="21"/>
      <c r="M28" s="21"/>
      <c r="N28" s="18"/>
      <c r="O28" s="18"/>
      <c r="P28" s="18"/>
      <c r="Q28" s="21"/>
      <c r="R28" s="18"/>
      <c r="S28" s="18"/>
      <c r="T28" s="18"/>
      <c r="U28" s="18"/>
      <c r="V28" s="18"/>
      <c r="W28" s="18"/>
      <c r="X28" s="18"/>
      <c r="Y28" s="18"/>
      <c r="Z28" s="18"/>
      <c r="AA28" s="18"/>
      <c r="AB28" s="18"/>
      <c r="AC28" s="18"/>
      <c r="AD28" s="18"/>
      <c r="AE28" s="45"/>
      <c r="AF28" s="18"/>
      <c r="AG28" s="18"/>
      <c r="AH28" s="18"/>
      <c r="AI28" s="18"/>
      <c r="AJ28" s="18"/>
      <c r="AK28" s="18"/>
      <c r="AL28" s="42"/>
      <c r="AM28" s="42"/>
      <c r="AN28" s="42"/>
      <c r="AO28" s="42"/>
      <c r="AP28" s="42"/>
      <c r="AQ28" s="42"/>
      <c r="AR28" s="42"/>
      <c r="AS28" s="42"/>
      <c r="AT28" s="42"/>
      <c r="AU28" s="42"/>
      <c r="AV28" s="42"/>
      <c r="AW28" s="42"/>
      <c r="AX28" s="42"/>
      <c r="AY28" s="42"/>
      <c r="AZ28" s="42"/>
      <c r="BA28" s="19"/>
      <c r="BB28" s="19"/>
      <c r="BC28" s="19"/>
      <c r="BD28" s="19"/>
      <c r="BE28" s="19"/>
      <c r="BF28" s="19"/>
      <c r="BG28" s="19"/>
      <c r="BH28" s="19"/>
      <c r="BI28" s="19"/>
      <c r="BJ28" s="19"/>
      <c r="BK28" s="19"/>
      <c r="BL28" s="19"/>
      <c r="BM28" s="18"/>
      <c r="BN28" s="18"/>
      <c r="BO28" s="18"/>
      <c r="BQ28" s="18"/>
      <c r="BR28" s="18"/>
      <c r="BS28" s="18"/>
    </row>
    <row r="29" spans="1:71" x14ac:dyDescent="0.25">
      <c r="A29" s="7">
        <v>13</v>
      </c>
      <c r="B29" s="14" t="s">
        <v>128</v>
      </c>
      <c r="C29" s="13">
        <v>23</v>
      </c>
      <c r="D29" s="17" t="s">
        <v>96</v>
      </c>
      <c r="P29" s="4"/>
      <c r="Q29" s="4"/>
      <c r="R29" s="4"/>
      <c r="S29" s="4"/>
      <c r="T29" s="4"/>
      <c r="U29" s="4"/>
      <c r="V29" s="4"/>
      <c r="W29" s="4"/>
      <c r="X29" s="4"/>
      <c r="Y29" s="4"/>
      <c r="Z29" s="4"/>
      <c r="AA29" s="4"/>
      <c r="AB29" s="4"/>
      <c r="AC29" s="4"/>
      <c r="AD29" s="4"/>
      <c r="AF29" s="4"/>
    </row>
    <row r="30" spans="1:71" x14ac:dyDescent="0.25">
      <c r="A30" s="7">
        <v>14</v>
      </c>
      <c r="B30" s="14" t="s">
        <v>129</v>
      </c>
      <c r="C30" s="13">
        <v>24</v>
      </c>
      <c r="D30" s="17" t="s">
        <v>96</v>
      </c>
      <c r="P30" s="4"/>
      <c r="Q30" s="4"/>
      <c r="R30" s="4"/>
      <c r="S30" s="4"/>
      <c r="T30" s="4"/>
      <c r="U30" s="4"/>
      <c r="V30" s="4"/>
      <c r="W30" s="4"/>
      <c r="X30" s="4"/>
      <c r="Y30" s="4"/>
      <c r="Z30" s="4"/>
      <c r="AA30" s="4"/>
      <c r="AB30" s="4"/>
      <c r="AC30" s="4"/>
      <c r="AD30" s="4"/>
      <c r="AF30" s="4"/>
    </row>
    <row r="31" spans="1:71" x14ac:dyDescent="0.25">
      <c r="A31" s="7">
        <v>15</v>
      </c>
      <c r="B31" s="14" t="s">
        <v>130</v>
      </c>
      <c r="C31" s="13">
        <v>25</v>
      </c>
      <c r="D31" s="17" t="s">
        <v>131</v>
      </c>
      <c r="P31" s="4"/>
      <c r="Q31" s="4"/>
      <c r="R31" s="4"/>
      <c r="S31" s="4"/>
      <c r="T31" s="4"/>
      <c r="U31" s="4"/>
      <c r="V31" s="4"/>
      <c r="W31" s="4"/>
      <c r="X31" s="4"/>
      <c r="Y31" s="4"/>
      <c r="Z31" s="4"/>
      <c r="AA31" s="4"/>
      <c r="AB31" s="4"/>
      <c r="AC31" s="4"/>
      <c r="AD31" s="4"/>
      <c r="AF31" s="4"/>
    </row>
    <row r="32" spans="1:71" ht="15.75" thickBot="1" x14ac:dyDescent="0.3">
      <c r="A32" s="7">
        <v>16</v>
      </c>
      <c r="B32" s="14" t="s">
        <v>133</v>
      </c>
      <c r="C32" s="13">
        <v>27</v>
      </c>
      <c r="D32" s="17" t="s">
        <v>96</v>
      </c>
      <c r="G32" s="36">
        <v>1451000136</v>
      </c>
      <c r="H32" s="37" t="s">
        <v>75</v>
      </c>
      <c r="P32" s="4"/>
      <c r="Q32" s="4"/>
      <c r="R32" s="4"/>
      <c r="S32" s="4"/>
      <c r="T32" s="4"/>
      <c r="U32" s="4"/>
      <c r="V32" s="4"/>
      <c r="W32" s="4"/>
      <c r="X32" s="4"/>
      <c r="Y32" s="4"/>
      <c r="Z32" s="4"/>
      <c r="AA32" s="4"/>
      <c r="AB32" s="4"/>
      <c r="AC32" s="4"/>
      <c r="AD32" s="4"/>
      <c r="AF32" s="4"/>
    </row>
    <row r="33" spans="1:32" ht="15.75" thickBot="1" x14ac:dyDescent="0.3">
      <c r="A33" s="7">
        <v>17</v>
      </c>
      <c r="B33" s="14" t="s">
        <v>134</v>
      </c>
      <c r="C33" s="13">
        <v>28</v>
      </c>
      <c r="D33" s="17" t="s">
        <v>44</v>
      </c>
      <c r="G33" s="36">
        <v>1330180077</v>
      </c>
      <c r="H33" s="37" t="s">
        <v>76</v>
      </c>
      <c r="P33" s="4"/>
      <c r="Q33" s="4"/>
      <c r="R33" s="4"/>
      <c r="S33" s="4"/>
      <c r="T33" s="4"/>
      <c r="U33" s="4"/>
      <c r="V33" s="4"/>
      <c r="W33" s="4"/>
      <c r="X33" s="4"/>
      <c r="Y33" s="4"/>
      <c r="Z33" s="4"/>
      <c r="AA33" s="4"/>
      <c r="AB33" s="4"/>
      <c r="AC33" s="4"/>
      <c r="AD33" s="4"/>
      <c r="AF33" s="4"/>
    </row>
    <row r="34" spans="1:32" ht="15.75" thickBot="1" x14ac:dyDescent="0.3">
      <c r="A34" s="7">
        <v>18</v>
      </c>
      <c r="B34" s="14" t="s">
        <v>135</v>
      </c>
      <c r="C34" s="13">
        <v>29</v>
      </c>
      <c r="D34" s="17" t="s">
        <v>93</v>
      </c>
      <c r="G34" s="36">
        <v>1330180074</v>
      </c>
      <c r="H34" s="37">
        <f>22</f>
        <v>22</v>
      </c>
      <c r="P34" s="4"/>
      <c r="Q34" s="4"/>
      <c r="R34" s="4"/>
      <c r="S34" s="4"/>
      <c r="T34" s="4"/>
      <c r="U34" s="4"/>
      <c r="V34" s="4"/>
      <c r="W34" s="4"/>
      <c r="X34" s="4"/>
      <c r="Y34" s="4"/>
      <c r="Z34" s="4"/>
      <c r="AA34" s="4"/>
      <c r="AB34" s="4"/>
      <c r="AC34" s="4"/>
      <c r="AD34" s="4"/>
      <c r="AF34" s="4"/>
    </row>
    <row r="35" spans="1:32" ht="15.75" thickBot="1" x14ac:dyDescent="0.3">
      <c r="A35" s="7">
        <v>19</v>
      </c>
      <c r="B35" s="14" t="s">
        <v>136</v>
      </c>
      <c r="C35" s="13">
        <v>30</v>
      </c>
      <c r="D35" s="17" t="s">
        <v>138</v>
      </c>
      <c r="G35" s="36">
        <v>1330180030</v>
      </c>
      <c r="H35" s="37">
        <f>1500</f>
        <v>1500</v>
      </c>
      <c r="P35" s="4"/>
      <c r="Q35" s="4"/>
      <c r="R35" s="4"/>
      <c r="S35" s="4"/>
      <c r="T35" s="4"/>
      <c r="U35" s="4"/>
      <c r="V35" s="4"/>
      <c r="W35" s="4"/>
      <c r="X35" s="4"/>
      <c r="Y35" s="4"/>
      <c r="Z35" s="4"/>
      <c r="AA35" s="4"/>
      <c r="AB35" s="4"/>
      <c r="AC35" s="4"/>
      <c r="AD35" s="4"/>
      <c r="AF35" s="4"/>
    </row>
    <row r="36" spans="1:32" ht="15.75" thickBot="1" x14ac:dyDescent="0.3">
      <c r="A36" s="7">
        <v>20</v>
      </c>
      <c r="B36" s="14" t="s">
        <v>137</v>
      </c>
      <c r="C36" s="13">
        <v>31</v>
      </c>
      <c r="D36" s="17" t="s">
        <v>98</v>
      </c>
      <c r="G36" s="36">
        <v>1330170084</v>
      </c>
      <c r="H36" s="37" t="s">
        <v>77</v>
      </c>
      <c r="P36" s="4"/>
      <c r="Q36" s="4"/>
      <c r="R36" s="4"/>
      <c r="S36" s="4"/>
      <c r="T36" s="4"/>
      <c r="U36" s="4"/>
      <c r="V36" s="4"/>
      <c r="W36" s="4"/>
      <c r="X36" s="4"/>
      <c r="Y36" s="4"/>
      <c r="Z36" s="4"/>
      <c r="AA36" s="4"/>
      <c r="AB36" s="4"/>
      <c r="AC36" s="4"/>
      <c r="AD36" s="4"/>
      <c r="AF36" s="4"/>
    </row>
    <row r="37" spans="1:32" ht="15.75" thickBot="1" x14ac:dyDescent="0.3">
      <c r="A37" s="7">
        <v>21</v>
      </c>
      <c r="B37" s="14" t="s">
        <v>139</v>
      </c>
      <c r="C37" s="13">
        <v>32</v>
      </c>
      <c r="D37" s="17" t="s">
        <v>120</v>
      </c>
      <c r="G37" s="36">
        <v>1330170085</v>
      </c>
      <c r="H37" s="37" t="s">
        <v>78</v>
      </c>
      <c r="P37" s="4"/>
      <c r="Q37" s="4"/>
      <c r="R37" s="4"/>
      <c r="S37" s="4"/>
      <c r="T37" s="4"/>
      <c r="U37" s="4"/>
      <c r="V37" s="4"/>
      <c r="W37" s="4"/>
      <c r="X37" s="4"/>
      <c r="Y37" s="4"/>
      <c r="Z37" s="4"/>
      <c r="AA37" s="4"/>
      <c r="AB37" s="4"/>
      <c r="AC37" s="4"/>
      <c r="AD37" s="4"/>
      <c r="AF37" s="4"/>
    </row>
    <row r="38" spans="1:32" ht="15.75" thickBot="1" x14ac:dyDescent="0.3">
      <c r="A38" s="7">
        <v>22</v>
      </c>
      <c r="B38" s="14" t="s">
        <v>140</v>
      </c>
      <c r="C38" s="13">
        <v>33</v>
      </c>
      <c r="D38" s="17" t="s">
        <v>120</v>
      </c>
      <c r="G38" s="36">
        <v>1330180025</v>
      </c>
      <c r="H38" s="38" t="s">
        <v>79</v>
      </c>
      <c r="P38" s="4"/>
      <c r="Q38" s="4"/>
      <c r="R38" s="4"/>
      <c r="S38" s="4"/>
      <c r="T38" s="4"/>
      <c r="U38" s="4"/>
      <c r="V38" s="4"/>
      <c r="W38" s="4"/>
      <c r="X38" s="4"/>
      <c r="Y38" s="4"/>
      <c r="Z38" s="4"/>
      <c r="AA38" s="4"/>
      <c r="AB38" s="4"/>
      <c r="AC38" s="4"/>
      <c r="AD38" s="4"/>
      <c r="AF38" s="4"/>
    </row>
    <row r="39" spans="1:32" ht="15.75" thickBot="1" x14ac:dyDescent="0.3">
      <c r="A39" s="7">
        <v>23</v>
      </c>
      <c r="B39" s="14" t="s">
        <v>141</v>
      </c>
      <c r="C39" s="13">
        <v>35</v>
      </c>
      <c r="D39" s="17" t="s">
        <v>142</v>
      </c>
      <c r="G39" s="36">
        <v>1330180028</v>
      </c>
      <c r="H39" s="38">
        <f>190</f>
        <v>190</v>
      </c>
      <c r="P39" s="4"/>
      <c r="Q39" s="4"/>
      <c r="R39" s="4"/>
      <c r="S39" s="4"/>
      <c r="T39" s="4"/>
      <c r="U39" s="4"/>
      <c r="V39" s="4"/>
      <c r="W39" s="4"/>
      <c r="X39" s="4"/>
      <c r="Y39" s="4"/>
      <c r="Z39" s="4"/>
      <c r="AA39" s="4"/>
      <c r="AB39" s="4"/>
      <c r="AC39" s="4"/>
      <c r="AD39" s="4"/>
      <c r="AF39" s="4"/>
    </row>
    <row r="40" spans="1:32" ht="15.75" thickBot="1" x14ac:dyDescent="0.3">
      <c r="A40" s="7">
        <v>24</v>
      </c>
      <c r="B40" s="14" t="s">
        <v>144</v>
      </c>
      <c r="C40" s="13">
        <v>36</v>
      </c>
      <c r="D40" s="17" t="s">
        <v>145</v>
      </c>
      <c r="G40" s="36">
        <v>1330180068</v>
      </c>
      <c r="H40" s="38" t="s">
        <v>80</v>
      </c>
      <c r="P40" s="4"/>
      <c r="Q40" s="4"/>
      <c r="R40" s="4"/>
      <c r="S40" s="4"/>
      <c r="T40" s="4"/>
      <c r="U40" s="4"/>
      <c r="V40" s="4"/>
      <c r="W40" s="4"/>
      <c r="X40" s="4"/>
      <c r="Y40" s="4"/>
      <c r="Z40" s="4"/>
      <c r="AA40" s="4"/>
      <c r="AB40" s="4"/>
      <c r="AC40" s="4"/>
      <c r="AD40" s="4"/>
      <c r="AF40" s="4"/>
    </row>
    <row r="41" spans="1:32" x14ac:dyDescent="0.25">
      <c r="A41" s="7">
        <v>25</v>
      </c>
      <c r="B41" s="14" t="s">
        <v>149</v>
      </c>
      <c r="C41" s="13">
        <v>40</v>
      </c>
      <c r="D41" s="12" t="s">
        <v>38</v>
      </c>
      <c r="P41" s="4"/>
      <c r="Q41" s="4"/>
      <c r="R41" s="4"/>
      <c r="S41" s="4"/>
      <c r="T41" s="4"/>
      <c r="U41" s="4"/>
      <c r="V41" s="4"/>
      <c r="W41" s="4"/>
      <c r="X41" s="4"/>
      <c r="Y41" s="4"/>
      <c r="Z41" s="4"/>
      <c r="AA41" s="4"/>
      <c r="AB41" s="4"/>
      <c r="AC41" s="4"/>
      <c r="AD41" s="4"/>
      <c r="AF41" s="4"/>
    </row>
    <row r="42" spans="1:32" x14ac:dyDescent="0.25">
      <c r="A42" s="7">
        <v>26</v>
      </c>
      <c r="B42" s="14" t="s">
        <v>155</v>
      </c>
      <c r="C42" s="13">
        <v>44</v>
      </c>
      <c r="D42" s="17" t="s">
        <v>96</v>
      </c>
      <c r="P42" s="4"/>
      <c r="Q42" s="4"/>
      <c r="R42" s="4"/>
      <c r="S42" s="4"/>
      <c r="T42" s="4"/>
      <c r="U42" s="4"/>
      <c r="V42" s="4"/>
      <c r="W42" s="4"/>
      <c r="X42" s="4"/>
      <c r="Y42" s="4"/>
      <c r="Z42" s="4"/>
      <c r="AA42" s="4"/>
      <c r="AB42" s="4"/>
      <c r="AC42" s="4"/>
      <c r="AD42" s="4"/>
      <c r="AF42" s="4"/>
    </row>
    <row r="43" spans="1:32" x14ac:dyDescent="0.25">
      <c r="A43" s="7">
        <v>27</v>
      </c>
      <c r="B43" s="14" t="s">
        <v>156</v>
      </c>
      <c r="C43" s="13">
        <v>45</v>
      </c>
      <c r="D43" s="17" t="s">
        <v>93</v>
      </c>
      <c r="P43" s="4"/>
      <c r="Q43" s="4"/>
      <c r="R43" s="4"/>
      <c r="S43" s="4"/>
      <c r="T43" s="4"/>
      <c r="U43" s="4"/>
      <c r="V43" s="4"/>
      <c r="W43" s="4"/>
      <c r="X43" s="4"/>
      <c r="Y43" s="4"/>
      <c r="Z43" s="4"/>
      <c r="AA43" s="4"/>
      <c r="AB43" s="4"/>
      <c r="AC43" s="4"/>
      <c r="AD43" s="4"/>
      <c r="AF43" s="4"/>
    </row>
    <row r="44" spans="1:32" x14ac:dyDescent="0.25">
      <c r="A44" s="7">
        <v>28</v>
      </c>
      <c r="B44" s="14" t="s">
        <v>157</v>
      </c>
      <c r="C44" s="13">
        <v>46</v>
      </c>
      <c r="D44" s="12" t="s">
        <v>158</v>
      </c>
      <c r="P44" s="4"/>
      <c r="Q44" s="4"/>
      <c r="R44" s="4"/>
      <c r="S44" s="4"/>
      <c r="T44" s="4"/>
      <c r="U44" s="4"/>
      <c r="V44" s="4"/>
      <c r="W44" s="4"/>
      <c r="X44" s="4"/>
      <c r="Y44" s="4"/>
      <c r="Z44" s="4"/>
      <c r="AA44" s="4"/>
      <c r="AB44" s="4"/>
      <c r="AC44" s="4"/>
      <c r="AD44" s="4"/>
      <c r="AF44" s="4"/>
    </row>
    <row r="45" spans="1:32" x14ac:dyDescent="0.25">
      <c r="A45" s="7">
        <v>29</v>
      </c>
      <c r="B45" s="12"/>
      <c r="C45" s="13"/>
      <c r="D45" s="12"/>
      <c r="P45" s="4"/>
      <c r="Q45" s="4"/>
      <c r="R45" s="4"/>
      <c r="S45" s="4"/>
      <c r="T45" s="4"/>
      <c r="U45" s="4"/>
      <c r="V45" s="4"/>
      <c r="W45" s="4"/>
      <c r="X45" s="4"/>
      <c r="Y45" s="4"/>
      <c r="Z45" s="4"/>
      <c r="AA45" s="4"/>
      <c r="AB45" s="4"/>
      <c r="AC45" s="4"/>
      <c r="AD45" s="4"/>
      <c r="AF45" s="4"/>
    </row>
    <row r="46" spans="1:32" x14ac:dyDescent="0.25">
      <c r="A46" s="7">
        <v>30</v>
      </c>
      <c r="B46" s="12"/>
      <c r="C46" s="13"/>
      <c r="D46" s="12"/>
      <c r="P46" s="4"/>
      <c r="Q46" s="4"/>
      <c r="R46" s="4"/>
      <c r="S46" s="4"/>
      <c r="T46" s="4"/>
      <c r="U46" s="4"/>
      <c r="V46" s="4"/>
      <c r="W46" s="4"/>
      <c r="X46" s="4"/>
      <c r="Y46" s="4"/>
      <c r="Z46" s="4"/>
      <c r="AA46" s="4"/>
      <c r="AB46" s="4"/>
      <c r="AC46" s="4"/>
      <c r="AD46" s="4"/>
      <c r="AF46" s="4"/>
    </row>
    <row r="47" spans="1:32" x14ac:dyDescent="0.25">
      <c r="A47" s="7">
        <v>31</v>
      </c>
      <c r="B47" s="12"/>
      <c r="C47" s="13"/>
      <c r="D47" s="12"/>
    </row>
    <row r="48" spans="1:32" x14ac:dyDescent="0.25">
      <c r="A48" s="7">
        <v>32</v>
      </c>
      <c r="B48" s="12"/>
      <c r="C48" s="13"/>
      <c r="D48" s="12"/>
    </row>
    <row r="49" spans="1:4" x14ac:dyDescent="0.25">
      <c r="A49" s="7">
        <v>33</v>
      </c>
      <c r="B49" s="12"/>
      <c r="C49" s="13"/>
      <c r="D49" s="12"/>
    </row>
    <row r="50" spans="1:4" x14ac:dyDescent="0.25">
      <c r="A50" s="7">
        <v>34</v>
      </c>
      <c r="B50" s="12"/>
      <c r="C50" s="13"/>
      <c r="D50" s="12"/>
    </row>
    <row r="51" spans="1:4" x14ac:dyDescent="0.25">
      <c r="A51" s="7">
        <v>35</v>
      </c>
      <c r="B51" s="12"/>
      <c r="C51" s="13"/>
      <c r="D51" s="12"/>
    </row>
    <row r="52" spans="1:4" x14ac:dyDescent="0.25">
      <c r="A52" s="7">
        <v>36</v>
      </c>
      <c r="B52" s="12"/>
      <c r="C52" s="13"/>
      <c r="D52" s="12"/>
    </row>
    <row r="53" spans="1:4" x14ac:dyDescent="0.25">
      <c r="A53" s="7">
        <v>37</v>
      </c>
      <c r="B53" s="12"/>
      <c r="C53" s="13"/>
      <c r="D53" s="12"/>
    </row>
    <row r="54" spans="1:4" x14ac:dyDescent="0.25">
      <c r="A54" s="7">
        <v>38</v>
      </c>
      <c r="B54" s="12"/>
      <c r="C54" s="13"/>
      <c r="D54" s="12"/>
    </row>
    <row r="55" spans="1:4" x14ac:dyDescent="0.25">
      <c r="A55" s="7">
        <v>39</v>
      </c>
      <c r="B55" s="12"/>
      <c r="C55" s="13"/>
      <c r="D55" s="12"/>
    </row>
    <row r="56" spans="1:4" x14ac:dyDescent="0.25">
      <c r="A56" s="7">
        <v>40</v>
      </c>
      <c r="B56" s="12"/>
      <c r="C56" s="13"/>
      <c r="D56" s="12"/>
    </row>
    <row r="57" spans="1:4" x14ac:dyDescent="0.25">
      <c r="A57" s="7">
        <v>41</v>
      </c>
      <c r="B57" s="12"/>
      <c r="C57" s="13"/>
      <c r="D57" s="12"/>
    </row>
    <row r="58" spans="1:4" x14ac:dyDescent="0.25">
      <c r="A58" s="7">
        <v>42</v>
      </c>
      <c r="B58" s="12"/>
      <c r="C58" s="13"/>
      <c r="D58" s="12"/>
    </row>
    <row r="59" spans="1:4" x14ac:dyDescent="0.25">
      <c r="A59" s="7">
        <v>43</v>
      </c>
      <c r="B59" s="12"/>
      <c r="C59" s="13"/>
      <c r="D59" s="12"/>
    </row>
    <row r="60" spans="1:4" x14ac:dyDescent="0.25">
      <c r="A60" s="7">
        <v>44</v>
      </c>
      <c r="B60" s="12"/>
      <c r="C60" s="13"/>
      <c r="D60" s="12"/>
    </row>
    <row r="61" spans="1:4" x14ac:dyDescent="0.25">
      <c r="A61" s="7">
        <v>45</v>
      </c>
      <c r="B61" s="12"/>
      <c r="C61" s="13"/>
      <c r="D61" s="12"/>
    </row>
    <row r="62" spans="1:4" x14ac:dyDescent="0.25">
      <c r="A62" s="7">
        <v>46</v>
      </c>
      <c r="B62" s="12"/>
      <c r="C62" s="13"/>
      <c r="D62" s="12"/>
    </row>
    <row r="63" spans="1:4" x14ac:dyDescent="0.25">
      <c r="A63" s="7">
        <v>47</v>
      </c>
      <c r="B63" s="12"/>
      <c r="C63" s="13"/>
      <c r="D63" s="12"/>
    </row>
    <row r="64" spans="1:4" x14ac:dyDescent="0.25">
      <c r="A64" s="7">
        <v>48</v>
      </c>
      <c r="B64" s="12"/>
      <c r="C64" s="13"/>
      <c r="D64" s="12"/>
    </row>
    <row r="65" spans="1:4" x14ac:dyDescent="0.25">
      <c r="A65" s="7">
        <v>49</v>
      </c>
      <c r="B65" s="12"/>
      <c r="C65" s="13"/>
      <c r="D65" s="12"/>
    </row>
    <row r="66" spans="1:4" x14ac:dyDescent="0.25">
      <c r="A66" s="7">
        <v>50</v>
      </c>
      <c r="B66" s="12"/>
      <c r="C66" s="13"/>
      <c r="D66" s="12"/>
    </row>
    <row r="69" spans="1:4" x14ac:dyDescent="0.25">
      <c r="A69" s="7" t="s">
        <v>0</v>
      </c>
      <c r="B69" s="7" t="s">
        <v>1</v>
      </c>
    </row>
    <row r="70" spans="1:4" x14ac:dyDescent="0.25">
      <c r="A70" s="23" t="s">
        <v>86</v>
      </c>
      <c r="B70" s="24" t="s">
        <v>88</v>
      </c>
    </row>
    <row r="71" spans="1:4" x14ac:dyDescent="0.25">
      <c r="A71" s="23" t="s">
        <v>87</v>
      </c>
      <c r="B71" s="40" t="s">
        <v>89</v>
      </c>
    </row>
    <row r="72" spans="1:4" x14ac:dyDescent="0.25">
      <c r="A72" s="23"/>
      <c r="B72" s="40" t="s">
        <v>85</v>
      </c>
    </row>
    <row r="73" spans="1:4" x14ac:dyDescent="0.25">
      <c r="A73" s="23"/>
      <c r="B73" s="40" t="s">
        <v>90</v>
      </c>
    </row>
    <row r="74" spans="1:4" x14ac:dyDescent="0.25">
      <c r="A74" s="23"/>
      <c r="B74" s="24" t="s">
        <v>88</v>
      </c>
    </row>
    <row r="75" spans="1:4" x14ac:dyDescent="0.25">
      <c r="A75" s="23"/>
      <c r="B75" s="24" t="s">
        <v>89</v>
      </c>
    </row>
    <row r="76" spans="1:4" x14ac:dyDescent="0.25">
      <c r="A76" s="23"/>
      <c r="B76" s="24" t="s">
        <v>85</v>
      </c>
    </row>
    <row r="77" spans="1:4" x14ac:dyDescent="0.25">
      <c r="A77" s="23"/>
      <c r="B77" s="24"/>
    </row>
    <row r="78" spans="1:4" x14ac:dyDescent="0.25">
      <c r="A78" s="23"/>
      <c r="B78" s="24"/>
    </row>
    <row r="79" spans="1:4" x14ac:dyDescent="0.25">
      <c r="A79" s="23"/>
      <c r="B79" s="24"/>
    </row>
  </sheetData>
  <mergeCells count="2">
    <mergeCell ref="B15:D15"/>
    <mergeCell ref="B1:F1"/>
  </mergeCell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063" r:id="rId4" name="Button 15">
              <controlPr defaultSize="0" print="0" autoFill="0" autoPict="0" macro="[0]!PopulateData">
                <anchor moveWithCells="1">
                  <from>
                    <xdr:col>5</xdr:col>
                    <xdr:colOff>0</xdr:colOff>
                    <xdr:row>18</xdr:row>
                    <xdr:rowOff>0</xdr:rowOff>
                  </from>
                  <to>
                    <xdr:col>7</xdr:col>
                    <xdr:colOff>9525</xdr:colOff>
                    <xdr:row>19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T1002"/>
  <sheetViews>
    <sheetView topLeftCell="Y1" workbookViewId="0">
      <selection activeCell="A3" sqref="A3:AT4"/>
    </sheetView>
  </sheetViews>
  <sheetFormatPr defaultRowHeight="15" x14ac:dyDescent="0.25"/>
  <cols>
    <col min="1" max="1" width="11" bestFit="1" customWidth="1"/>
    <col min="2" max="2" width="7" customWidth="1"/>
    <col min="3" max="3" width="5" bestFit="1" customWidth="1"/>
    <col min="4" max="4" width="13.140625" bestFit="1" customWidth="1"/>
    <col min="5" max="5" width="4.140625" bestFit="1" customWidth="1"/>
    <col min="6" max="6" width="5.85546875" bestFit="1" customWidth="1"/>
    <col min="7" max="7" width="17.28515625" bestFit="1" customWidth="1"/>
    <col min="8" max="8" width="8.140625" bestFit="1" customWidth="1"/>
    <col min="9" max="10" width="9" bestFit="1" customWidth="1"/>
    <col min="11" max="11" width="10.7109375" bestFit="1" customWidth="1"/>
    <col min="12" max="12" width="14.5703125" customWidth="1"/>
    <col min="13" max="13" width="17.28515625" bestFit="1" customWidth="1"/>
    <col min="14" max="14" width="5" bestFit="1" customWidth="1"/>
    <col min="15" max="15" width="3" bestFit="1" customWidth="1"/>
    <col min="16" max="16" width="9" bestFit="1" customWidth="1"/>
    <col min="17" max="18" width="3" bestFit="1" customWidth="1"/>
    <col min="19" max="19" width="4" bestFit="1" customWidth="1"/>
    <col min="20" max="20" width="14.42578125" customWidth="1"/>
    <col min="23" max="23" width="12.7109375" bestFit="1" customWidth="1"/>
    <col min="24" max="24" width="21.5703125" customWidth="1"/>
    <col min="37" max="37" width="9.42578125" bestFit="1" customWidth="1"/>
  </cols>
  <sheetData>
    <row r="1" spans="1:46" s="3" customFormat="1"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46" x14ac:dyDescent="0.25">
      <c r="A2" s="1"/>
      <c r="B2" s="1"/>
      <c r="C2" s="1"/>
      <c r="D2" s="1"/>
      <c r="E2" s="1"/>
      <c r="F2" s="1"/>
      <c r="G2" s="1"/>
      <c r="H2" s="1"/>
      <c r="I2" s="1"/>
      <c r="J2" s="1"/>
      <c r="K2" s="1"/>
      <c r="L2" s="1"/>
      <c r="M2" s="1"/>
      <c r="N2" s="1"/>
      <c r="O2" s="1"/>
      <c r="P2" s="1"/>
      <c r="Q2" s="1"/>
      <c r="R2" s="1"/>
      <c r="S2" s="1"/>
      <c r="T2" s="1"/>
      <c r="U2" s="1"/>
    </row>
    <row r="3" spans="1:46" x14ac:dyDescent="0.25">
      <c r="A3" s="1" t="s">
        <v>103</v>
      </c>
      <c r="B3" s="1" t="s">
        <v>30</v>
      </c>
      <c r="C3" s="1" t="s">
        <v>164</v>
      </c>
      <c r="D3" s="1" t="s">
        <v>107</v>
      </c>
      <c r="E3" s="1" t="s">
        <v>95</v>
      </c>
      <c r="F3" s="1" t="s">
        <v>95</v>
      </c>
      <c r="G3" s="1" t="s">
        <v>113</v>
      </c>
      <c r="H3" s="1" t="s">
        <v>92</v>
      </c>
      <c r="I3" s="1" t="s">
        <v>96</v>
      </c>
      <c r="J3" s="1" t="s">
        <v>95</v>
      </c>
      <c r="K3" s="1" t="s">
        <v>160</v>
      </c>
      <c r="L3" s="1" t="s">
        <v>120</v>
      </c>
      <c r="M3" s="1" t="s">
        <v>93</v>
      </c>
      <c r="N3" s="1" t="s">
        <v>92</v>
      </c>
      <c r="O3" s="1" t="s">
        <v>120</v>
      </c>
      <c r="P3" s="1" t="s">
        <v>94</v>
      </c>
      <c r="Q3" s="1" t="s">
        <v>94</v>
      </c>
      <c r="R3" s="1" t="s">
        <v>94</v>
      </c>
      <c r="S3" s="1" t="s">
        <v>96</v>
      </c>
      <c r="T3" s="1" t="s">
        <v>96</v>
      </c>
      <c r="U3" s="1" t="s">
        <v>93</v>
      </c>
      <c r="V3" s="1" t="s">
        <v>93</v>
      </c>
      <c r="W3" s="43" t="s">
        <v>96</v>
      </c>
      <c r="X3" s="43" t="s">
        <v>96</v>
      </c>
      <c r="Y3" s="1" t="s">
        <v>131</v>
      </c>
      <c r="Z3" s="1" t="s">
        <v>101</v>
      </c>
      <c r="AA3" s="1" t="s">
        <v>96</v>
      </c>
      <c r="AB3" s="1" t="s">
        <v>44</v>
      </c>
      <c r="AC3" s="1" t="s">
        <v>93</v>
      </c>
      <c r="AD3" s="1" t="s">
        <v>138</v>
      </c>
      <c r="AE3" s="1" t="s">
        <v>98</v>
      </c>
      <c r="AF3" s="1" t="s">
        <v>120</v>
      </c>
      <c r="AG3" s="1" t="s">
        <v>120</v>
      </c>
      <c r="AH3" s="1" t="s">
        <v>100</v>
      </c>
      <c r="AI3" s="1" t="s">
        <v>142</v>
      </c>
      <c r="AJ3" s="1" t="s">
        <v>145</v>
      </c>
      <c r="AK3" s="1" t="s">
        <v>165</v>
      </c>
      <c r="AL3" s="1" t="s">
        <v>161</v>
      </c>
      <c r="AM3" s="1" t="s">
        <v>162</v>
      </c>
      <c r="AN3" s="1" t="s">
        <v>38</v>
      </c>
      <c r="AO3" s="1" t="s">
        <v>152</v>
      </c>
      <c r="AP3" s="1" t="s">
        <v>154</v>
      </c>
      <c r="AQ3" s="1" t="s">
        <v>163</v>
      </c>
      <c r="AR3" s="1" t="s">
        <v>96</v>
      </c>
      <c r="AS3" s="1" t="s">
        <v>93</v>
      </c>
      <c r="AT3" s="1" t="s">
        <v>158</v>
      </c>
    </row>
    <row r="4" spans="1:46" x14ac:dyDescent="0.25">
      <c r="A4" s="1" t="s">
        <v>103</v>
      </c>
      <c r="B4" s="1" t="s">
        <v>30</v>
      </c>
      <c r="C4" s="1" t="s">
        <v>164</v>
      </c>
      <c r="D4" s="1" t="s">
        <v>107</v>
      </c>
      <c r="E4" s="1" t="s">
        <v>95</v>
      </c>
      <c r="F4" s="1" t="s">
        <v>95</v>
      </c>
      <c r="G4" s="1" t="s">
        <v>113</v>
      </c>
      <c r="H4" s="1" t="s">
        <v>92</v>
      </c>
      <c r="I4" s="1" t="s">
        <v>96</v>
      </c>
      <c r="J4" s="1" t="s">
        <v>95</v>
      </c>
      <c r="K4" s="1" t="s">
        <v>160</v>
      </c>
      <c r="L4" s="1" t="s">
        <v>120</v>
      </c>
      <c r="M4" s="1" t="s">
        <v>93</v>
      </c>
      <c r="N4" s="1" t="s">
        <v>92</v>
      </c>
      <c r="O4" s="1" t="s">
        <v>120</v>
      </c>
      <c r="P4" s="1" t="s">
        <v>94</v>
      </c>
      <c r="Q4" s="1" t="s">
        <v>94</v>
      </c>
      <c r="R4" s="1" t="s">
        <v>94</v>
      </c>
      <c r="S4" s="1" t="s">
        <v>96</v>
      </c>
      <c r="T4" s="1" t="s">
        <v>96</v>
      </c>
      <c r="U4" s="1" t="s">
        <v>93</v>
      </c>
      <c r="V4" s="1" t="s">
        <v>93</v>
      </c>
      <c r="W4" s="1" t="s">
        <v>96</v>
      </c>
      <c r="X4" s="43" t="s">
        <v>96</v>
      </c>
      <c r="Y4" s="1" t="s">
        <v>131</v>
      </c>
      <c r="Z4" s="1" t="s">
        <v>101</v>
      </c>
      <c r="AA4" s="1" t="s">
        <v>96</v>
      </c>
      <c r="AB4" s="1" t="s">
        <v>44</v>
      </c>
      <c r="AC4" s="1" t="s">
        <v>93</v>
      </c>
      <c r="AD4" s="1" t="s">
        <v>138</v>
      </c>
      <c r="AE4" s="1" t="s">
        <v>98</v>
      </c>
      <c r="AF4" s="1" t="s">
        <v>120</v>
      </c>
      <c r="AG4" s="1" t="s">
        <v>120</v>
      </c>
      <c r="AH4" s="1" t="s">
        <v>100</v>
      </c>
      <c r="AI4" s="1" t="s">
        <v>142</v>
      </c>
      <c r="AJ4" s="1" t="s">
        <v>145</v>
      </c>
      <c r="AK4" s="1" t="s">
        <v>166</v>
      </c>
      <c r="AL4" s="1" t="s">
        <v>161</v>
      </c>
      <c r="AM4" s="1" t="s">
        <v>162</v>
      </c>
      <c r="AN4" s="1" t="s">
        <v>38</v>
      </c>
      <c r="AO4" s="1" t="s">
        <v>152</v>
      </c>
      <c r="AP4" s="1" t="s">
        <v>154</v>
      </c>
      <c r="AQ4" s="1" t="s">
        <v>167</v>
      </c>
      <c r="AR4" s="1" t="s">
        <v>96</v>
      </c>
      <c r="AS4" s="1" t="s">
        <v>93</v>
      </c>
      <c r="AT4" s="1" t="s">
        <v>158</v>
      </c>
    </row>
    <row r="5" spans="1:46" x14ac:dyDescent="0.25">
      <c r="A5" s="1" t="s">
        <v>103</v>
      </c>
      <c r="B5" s="1" t="s">
        <v>30</v>
      </c>
      <c r="C5" s="1" t="s">
        <v>164</v>
      </c>
      <c r="D5" s="1" t="s">
        <v>107</v>
      </c>
      <c r="E5" s="1" t="s">
        <v>95</v>
      </c>
      <c r="F5" s="1" t="s">
        <v>95</v>
      </c>
      <c r="G5" s="1" t="s">
        <v>113</v>
      </c>
      <c r="H5" s="1" t="s">
        <v>92</v>
      </c>
      <c r="I5" s="1" t="s">
        <v>96</v>
      </c>
      <c r="J5" s="1" t="s">
        <v>95</v>
      </c>
      <c r="K5" s="1" t="s">
        <v>160</v>
      </c>
      <c r="L5" s="1" t="s">
        <v>120</v>
      </c>
      <c r="M5" s="1" t="s">
        <v>93</v>
      </c>
      <c r="N5" s="1" t="s">
        <v>92</v>
      </c>
      <c r="O5" s="1" t="s">
        <v>120</v>
      </c>
      <c r="P5" s="1" t="s">
        <v>94</v>
      </c>
      <c r="Q5" s="1" t="s">
        <v>94</v>
      </c>
      <c r="R5" s="1" t="s">
        <v>94</v>
      </c>
      <c r="S5" s="1" t="s">
        <v>96</v>
      </c>
      <c r="T5" s="1" t="s">
        <v>96</v>
      </c>
      <c r="U5" s="1" t="s">
        <v>93</v>
      </c>
      <c r="V5" s="1" t="s">
        <v>93</v>
      </c>
      <c r="W5" s="1" t="s">
        <v>96</v>
      </c>
      <c r="X5" s="43" t="s">
        <v>96</v>
      </c>
      <c r="Y5" s="1" t="s">
        <v>131</v>
      </c>
      <c r="Z5" s="1" t="s">
        <v>101</v>
      </c>
      <c r="AA5" s="1" t="s">
        <v>96</v>
      </c>
      <c r="AB5" s="1" t="s">
        <v>44</v>
      </c>
      <c r="AC5" s="1" t="s">
        <v>93</v>
      </c>
      <c r="AD5" s="1" t="s">
        <v>138</v>
      </c>
      <c r="AE5" s="1" t="s">
        <v>98</v>
      </c>
      <c r="AF5" s="1" t="s">
        <v>120</v>
      </c>
      <c r="AG5" s="1" t="s">
        <v>120</v>
      </c>
      <c r="AH5" s="1" t="s">
        <v>100</v>
      </c>
      <c r="AI5" s="1" t="s">
        <v>142</v>
      </c>
      <c r="AJ5" s="1" t="s">
        <v>145</v>
      </c>
      <c r="AK5" s="1" t="s">
        <v>168</v>
      </c>
      <c r="AL5" s="1" t="s">
        <v>161</v>
      </c>
      <c r="AM5" s="1" t="s">
        <v>162</v>
      </c>
      <c r="AN5" s="1" t="s">
        <v>38</v>
      </c>
      <c r="AO5" s="1" t="s">
        <v>152</v>
      </c>
      <c r="AP5" s="1" t="s">
        <v>154</v>
      </c>
      <c r="AQ5" s="1" t="s">
        <v>169</v>
      </c>
      <c r="AR5" s="1" t="s">
        <v>96</v>
      </c>
      <c r="AS5" s="1" t="s">
        <v>93</v>
      </c>
      <c r="AT5" s="1" t="s">
        <v>158</v>
      </c>
    </row>
    <row r="6" spans="1:46" x14ac:dyDescent="0.25">
      <c r="A6" s="1" t="s">
        <v>103</v>
      </c>
      <c r="B6" s="1" t="s">
        <v>30</v>
      </c>
      <c r="C6" s="1" t="s">
        <v>164</v>
      </c>
      <c r="D6" s="1" t="s">
        <v>107</v>
      </c>
      <c r="E6" s="1" t="s">
        <v>95</v>
      </c>
      <c r="F6" s="1" t="s">
        <v>95</v>
      </c>
      <c r="G6" s="1" t="s">
        <v>113</v>
      </c>
      <c r="H6" s="1" t="s">
        <v>92</v>
      </c>
      <c r="I6" s="1" t="s">
        <v>96</v>
      </c>
      <c r="J6" s="1" t="s">
        <v>95</v>
      </c>
      <c r="K6" s="1" t="s">
        <v>160</v>
      </c>
      <c r="L6" s="1" t="s">
        <v>120</v>
      </c>
      <c r="M6" s="1" t="s">
        <v>93</v>
      </c>
      <c r="N6" s="1" t="s">
        <v>92</v>
      </c>
      <c r="O6" s="1" t="s">
        <v>120</v>
      </c>
      <c r="P6" s="1" t="s">
        <v>94</v>
      </c>
      <c r="Q6" s="1" t="s">
        <v>94</v>
      </c>
      <c r="R6" s="1" t="s">
        <v>94</v>
      </c>
      <c r="S6" s="1" t="s">
        <v>96</v>
      </c>
      <c r="T6" s="1" t="s">
        <v>96</v>
      </c>
      <c r="U6" s="1" t="s">
        <v>93</v>
      </c>
      <c r="V6" s="1" t="s">
        <v>93</v>
      </c>
      <c r="W6" s="1" t="s">
        <v>96</v>
      </c>
      <c r="X6" s="43" t="s">
        <v>96</v>
      </c>
      <c r="Y6" s="1" t="s">
        <v>131</v>
      </c>
      <c r="Z6" s="1" t="s">
        <v>101</v>
      </c>
      <c r="AA6" s="1" t="s">
        <v>96</v>
      </c>
      <c r="AB6" s="1" t="s">
        <v>44</v>
      </c>
      <c r="AC6" s="1" t="s">
        <v>93</v>
      </c>
      <c r="AD6" s="1" t="s">
        <v>138</v>
      </c>
      <c r="AE6" s="1" t="s">
        <v>98</v>
      </c>
      <c r="AF6" s="1" t="s">
        <v>120</v>
      </c>
      <c r="AG6" s="1" t="s">
        <v>120</v>
      </c>
      <c r="AH6" s="1" t="s">
        <v>100</v>
      </c>
      <c r="AI6" s="1" t="s">
        <v>142</v>
      </c>
      <c r="AJ6" s="1" t="s">
        <v>145</v>
      </c>
      <c r="AK6" s="1" t="s">
        <v>170</v>
      </c>
      <c r="AL6" s="1" t="s">
        <v>161</v>
      </c>
      <c r="AM6" s="1" t="s">
        <v>162</v>
      </c>
      <c r="AN6" s="1" t="s">
        <v>38</v>
      </c>
      <c r="AO6" s="1" t="s">
        <v>152</v>
      </c>
      <c r="AP6" s="1" t="s">
        <v>154</v>
      </c>
      <c r="AQ6" s="1" t="s">
        <v>171</v>
      </c>
      <c r="AR6" s="1" t="s">
        <v>96</v>
      </c>
      <c r="AS6" s="1" t="s">
        <v>93</v>
      </c>
      <c r="AT6" s="1" t="s">
        <v>158</v>
      </c>
    </row>
    <row r="7" spans="1:46" x14ac:dyDescent="0.25">
      <c r="A7" s="1" t="s">
        <v>103</v>
      </c>
      <c r="B7" s="1" t="s">
        <v>30</v>
      </c>
      <c r="C7" s="1" t="s">
        <v>164</v>
      </c>
      <c r="D7" s="1" t="s">
        <v>107</v>
      </c>
      <c r="E7" s="1" t="s">
        <v>95</v>
      </c>
      <c r="F7" s="1" t="s">
        <v>95</v>
      </c>
      <c r="G7" s="1" t="s">
        <v>113</v>
      </c>
      <c r="H7" s="1" t="s">
        <v>92</v>
      </c>
      <c r="I7" s="1" t="s">
        <v>96</v>
      </c>
      <c r="J7" s="1" t="s">
        <v>95</v>
      </c>
      <c r="K7" s="1" t="s">
        <v>160</v>
      </c>
      <c r="L7" s="1" t="s">
        <v>120</v>
      </c>
      <c r="M7" s="1" t="s">
        <v>93</v>
      </c>
      <c r="N7" s="1" t="s">
        <v>92</v>
      </c>
      <c r="O7" s="1" t="s">
        <v>120</v>
      </c>
      <c r="P7" s="1" t="s">
        <v>94</v>
      </c>
      <c r="Q7" s="1" t="s">
        <v>94</v>
      </c>
      <c r="R7" s="1" t="s">
        <v>94</v>
      </c>
      <c r="S7" s="1" t="s">
        <v>96</v>
      </c>
      <c r="T7" s="1" t="s">
        <v>96</v>
      </c>
      <c r="U7" s="1" t="s">
        <v>93</v>
      </c>
      <c r="V7" s="1" t="s">
        <v>93</v>
      </c>
      <c r="W7" s="1" t="s">
        <v>96</v>
      </c>
      <c r="X7" s="43" t="s">
        <v>96</v>
      </c>
      <c r="Y7" s="1" t="s">
        <v>131</v>
      </c>
      <c r="Z7" s="1" t="s">
        <v>101</v>
      </c>
      <c r="AA7" s="1" t="s">
        <v>96</v>
      </c>
      <c r="AB7" s="1" t="s">
        <v>44</v>
      </c>
      <c r="AC7" s="1" t="s">
        <v>93</v>
      </c>
      <c r="AD7" s="1" t="s">
        <v>138</v>
      </c>
      <c r="AE7" s="1" t="s">
        <v>98</v>
      </c>
      <c r="AF7" s="1" t="s">
        <v>120</v>
      </c>
      <c r="AG7" s="1" t="s">
        <v>120</v>
      </c>
      <c r="AH7" s="1" t="s">
        <v>100</v>
      </c>
      <c r="AI7" s="1" t="s">
        <v>142</v>
      </c>
      <c r="AJ7" s="1" t="s">
        <v>145</v>
      </c>
      <c r="AK7" s="1" t="s">
        <v>172</v>
      </c>
      <c r="AL7" s="1" t="s">
        <v>161</v>
      </c>
      <c r="AM7" s="1" t="s">
        <v>162</v>
      </c>
      <c r="AN7" s="1" t="s">
        <v>38</v>
      </c>
      <c r="AO7" s="1" t="s">
        <v>152</v>
      </c>
      <c r="AP7" s="1" t="s">
        <v>154</v>
      </c>
      <c r="AQ7" s="1" t="s">
        <v>173</v>
      </c>
      <c r="AR7" s="1" t="s">
        <v>96</v>
      </c>
      <c r="AS7" s="1" t="s">
        <v>93</v>
      </c>
      <c r="AT7" s="1" t="s">
        <v>158</v>
      </c>
    </row>
    <row r="8" spans="1:46" ht="30" x14ac:dyDescent="0.25">
      <c r="A8" s="1" t="s">
        <v>103</v>
      </c>
      <c r="B8" s="1" t="s">
        <v>30</v>
      </c>
      <c r="C8" s="1" t="s">
        <v>164</v>
      </c>
      <c r="D8" s="1" t="s">
        <v>107</v>
      </c>
      <c r="E8" s="1" t="s">
        <v>95</v>
      </c>
      <c r="F8" s="1" t="s">
        <v>95</v>
      </c>
      <c r="G8" s="1" t="s">
        <v>113</v>
      </c>
      <c r="H8" s="1" t="s">
        <v>92</v>
      </c>
      <c r="I8" s="1" t="s">
        <v>96</v>
      </c>
      <c r="J8" s="1" t="s">
        <v>95</v>
      </c>
      <c r="K8" s="1" t="s">
        <v>160</v>
      </c>
      <c r="L8" s="1" t="s">
        <v>120</v>
      </c>
      <c r="M8" s="1" t="s">
        <v>93</v>
      </c>
      <c r="N8" s="1" t="s">
        <v>92</v>
      </c>
      <c r="O8" s="1" t="s">
        <v>120</v>
      </c>
      <c r="P8" s="1" t="s">
        <v>94</v>
      </c>
      <c r="Q8" s="1" t="s">
        <v>94</v>
      </c>
      <c r="R8" s="1" t="s">
        <v>94</v>
      </c>
      <c r="S8" s="1" t="s">
        <v>96</v>
      </c>
      <c r="T8" s="1" t="s">
        <v>96</v>
      </c>
      <c r="U8" s="1" t="s">
        <v>93</v>
      </c>
      <c r="V8" s="1" t="s">
        <v>93</v>
      </c>
      <c r="W8" s="1" t="s">
        <v>96</v>
      </c>
      <c r="X8" s="43" t="s">
        <v>96</v>
      </c>
      <c r="Y8" s="1" t="s">
        <v>131</v>
      </c>
      <c r="Z8" s="1" t="s">
        <v>101</v>
      </c>
      <c r="AA8" s="1" t="s">
        <v>96</v>
      </c>
      <c r="AB8" s="1" t="s">
        <v>44</v>
      </c>
      <c r="AC8" s="1" t="s">
        <v>93</v>
      </c>
      <c r="AD8" s="1" t="s">
        <v>138</v>
      </c>
      <c r="AE8" s="1" t="s">
        <v>98</v>
      </c>
      <c r="AF8" s="1" t="s">
        <v>120</v>
      </c>
      <c r="AG8" s="1" t="s">
        <v>120</v>
      </c>
      <c r="AH8" s="1" t="s">
        <v>100</v>
      </c>
      <c r="AI8" s="1" t="s">
        <v>142</v>
      </c>
      <c r="AJ8" s="1" t="s">
        <v>145</v>
      </c>
      <c r="AK8" s="26" t="s">
        <v>174</v>
      </c>
      <c r="AL8" s="1" t="s">
        <v>161</v>
      </c>
      <c r="AM8" s="1" t="s">
        <v>162</v>
      </c>
      <c r="AN8" s="1" t="s">
        <v>38</v>
      </c>
      <c r="AO8" s="1" t="s">
        <v>152</v>
      </c>
      <c r="AP8" s="1" t="s">
        <v>154</v>
      </c>
      <c r="AQ8" s="1" t="s">
        <v>175</v>
      </c>
      <c r="AR8" s="1" t="s">
        <v>96</v>
      </c>
      <c r="AS8" s="1" t="s">
        <v>93</v>
      </c>
      <c r="AT8" s="1" t="s">
        <v>158</v>
      </c>
    </row>
    <row r="9" spans="1:46" ht="30" x14ac:dyDescent="0.25">
      <c r="A9" s="1" t="s">
        <v>103</v>
      </c>
      <c r="B9" s="1" t="s">
        <v>30</v>
      </c>
      <c r="C9" s="1" t="s">
        <v>164</v>
      </c>
      <c r="D9" s="1" t="s">
        <v>107</v>
      </c>
      <c r="E9" s="1" t="s">
        <v>95</v>
      </c>
      <c r="F9" s="1" t="s">
        <v>95</v>
      </c>
      <c r="G9" s="1" t="s">
        <v>113</v>
      </c>
      <c r="H9" s="1" t="s">
        <v>92</v>
      </c>
      <c r="I9" s="1" t="s">
        <v>96</v>
      </c>
      <c r="J9" s="1" t="s">
        <v>95</v>
      </c>
      <c r="K9" s="1" t="s">
        <v>160</v>
      </c>
      <c r="L9" s="1" t="s">
        <v>120</v>
      </c>
      <c r="M9" s="1" t="s">
        <v>93</v>
      </c>
      <c r="N9" s="1" t="s">
        <v>92</v>
      </c>
      <c r="O9" s="1" t="s">
        <v>120</v>
      </c>
      <c r="P9" s="1" t="s">
        <v>94</v>
      </c>
      <c r="Q9" s="1" t="s">
        <v>94</v>
      </c>
      <c r="R9" s="1" t="s">
        <v>94</v>
      </c>
      <c r="S9" s="1" t="s">
        <v>96</v>
      </c>
      <c r="T9" s="1" t="s">
        <v>96</v>
      </c>
      <c r="U9" s="1" t="s">
        <v>93</v>
      </c>
      <c r="V9" s="1" t="s">
        <v>93</v>
      </c>
      <c r="W9" s="1" t="s">
        <v>96</v>
      </c>
      <c r="X9" s="43" t="s">
        <v>96</v>
      </c>
      <c r="Y9" s="1" t="s">
        <v>131</v>
      </c>
      <c r="Z9" s="1" t="s">
        <v>101</v>
      </c>
      <c r="AA9" s="1" t="s">
        <v>96</v>
      </c>
      <c r="AB9" s="1" t="s">
        <v>44</v>
      </c>
      <c r="AC9" s="1" t="s">
        <v>93</v>
      </c>
      <c r="AD9" s="1" t="s">
        <v>138</v>
      </c>
      <c r="AE9" s="1" t="s">
        <v>98</v>
      </c>
      <c r="AF9" s="1" t="s">
        <v>120</v>
      </c>
      <c r="AG9" s="1" t="s">
        <v>120</v>
      </c>
      <c r="AH9" s="1" t="s">
        <v>100</v>
      </c>
      <c r="AI9" s="1" t="s">
        <v>142</v>
      </c>
      <c r="AJ9" s="1" t="s">
        <v>145</v>
      </c>
      <c r="AK9" s="26" t="s">
        <v>176</v>
      </c>
      <c r="AL9" s="1" t="s">
        <v>161</v>
      </c>
      <c r="AM9" s="1" t="s">
        <v>162</v>
      </c>
      <c r="AN9" s="1" t="s">
        <v>38</v>
      </c>
      <c r="AO9" s="1" t="s">
        <v>152</v>
      </c>
      <c r="AP9" s="1" t="s">
        <v>154</v>
      </c>
      <c r="AQ9" s="1" t="s">
        <v>177</v>
      </c>
      <c r="AR9" s="1" t="s">
        <v>96</v>
      </c>
      <c r="AS9" s="1" t="s">
        <v>93</v>
      </c>
      <c r="AT9" s="1" t="s">
        <v>158</v>
      </c>
    </row>
    <row r="10" spans="1:46" ht="30" x14ac:dyDescent="0.25">
      <c r="A10" s="1" t="s">
        <v>103</v>
      </c>
      <c r="B10" s="1" t="s">
        <v>30</v>
      </c>
      <c r="C10" s="1" t="s">
        <v>164</v>
      </c>
      <c r="D10" s="1" t="s">
        <v>107</v>
      </c>
      <c r="E10" s="1" t="s">
        <v>95</v>
      </c>
      <c r="F10" s="1" t="s">
        <v>95</v>
      </c>
      <c r="G10" s="1" t="s">
        <v>113</v>
      </c>
      <c r="H10" s="1" t="s">
        <v>92</v>
      </c>
      <c r="I10" s="1" t="s">
        <v>96</v>
      </c>
      <c r="J10" s="1" t="s">
        <v>95</v>
      </c>
      <c r="K10" s="1" t="s">
        <v>160</v>
      </c>
      <c r="L10" s="1" t="s">
        <v>120</v>
      </c>
      <c r="M10" s="1" t="s">
        <v>93</v>
      </c>
      <c r="N10" s="1" t="s">
        <v>92</v>
      </c>
      <c r="O10" s="1" t="s">
        <v>120</v>
      </c>
      <c r="P10" s="1" t="s">
        <v>94</v>
      </c>
      <c r="Q10" s="1" t="s">
        <v>94</v>
      </c>
      <c r="R10" s="1" t="s">
        <v>94</v>
      </c>
      <c r="S10" s="1" t="s">
        <v>96</v>
      </c>
      <c r="T10" s="1" t="s">
        <v>96</v>
      </c>
      <c r="U10" s="1" t="s">
        <v>93</v>
      </c>
      <c r="V10" s="1" t="s">
        <v>93</v>
      </c>
      <c r="W10" s="1" t="s">
        <v>96</v>
      </c>
      <c r="X10" s="43" t="s">
        <v>96</v>
      </c>
      <c r="Y10" s="1" t="s">
        <v>131</v>
      </c>
      <c r="Z10" s="1" t="s">
        <v>101</v>
      </c>
      <c r="AA10" s="1" t="s">
        <v>96</v>
      </c>
      <c r="AB10" s="1" t="s">
        <v>44</v>
      </c>
      <c r="AC10" s="1" t="s">
        <v>93</v>
      </c>
      <c r="AD10" s="1" t="s">
        <v>138</v>
      </c>
      <c r="AE10" s="1" t="s">
        <v>98</v>
      </c>
      <c r="AF10" s="1" t="s">
        <v>120</v>
      </c>
      <c r="AG10" s="1" t="s">
        <v>120</v>
      </c>
      <c r="AH10" s="1" t="s">
        <v>100</v>
      </c>
      <c r="AI10" s="1" t="s">
        <v>142</v>
      </c>
      <c r="AJ10" s="1" t="s">
        <v>145</v>
      </c>
      <c r="AK10" s="26" t="s">
        <v>178</v>
      </c>
      <c r="AL10" s="1" t="s">
        <v>161</v>
      </c>
      <c r="AM10" s="1" t="s">
        <v>162</v>
      </c>
      <c r="AN10" s="1" t="s">
        <v>38</v>
      </c>
      <c r="AO10" s="1" t="s">
        <v>152</v>
      </c>
      <c r="AP10" s="1" t="s">
        <v>154</v>
      </c>
      <c r="AQ10" s="1" t="s">
        <v>179</v>
      </c>
      <c r="AR10" s="1" t="s">
        <v>96</v>
      </c>
      <c r="AS10" s="1" t="s">
        <v>93</v>
      </c>
      <c r="AT10" s="1" t="s">
        <v>158</v>
      </c>
    </row>
    <row r="11" spans="1:46" ht="30" x14ac:dyDescent="0.25">
      <c r="A11" s="1" t="s">
        <v>103</v>
      </c>
      <c r="B11" s="1" t="s">
        <v>30</v>
      </c>
      <c r="C11" s="1" t="s">
        <v>164</v>
      </c>
      <c r="D11" s="1" t="s">
        <v>107</v>
      </c>
      <c r="E11" s="1" t="s">
        <v>95</v>
      </c>
      <c r="F11" s="1" t="s">
        <v>95</v>
      </c>
      <c r="G11" s="1" t="s">
        <v>113</v>
      </c>
      <c r="H11" s="1" t="s">
        <v>92</v>
      </c>
      <c r="I11" s="1" t="s">
        <v>96</v>
      </c>
      <c r="J11" s="1" t="s">
        <v>95</v>
      </c>
      <c r="K11" s="1" t="s">
        <v>160</v>
      </c>
      <c r="L11" s="1" t="s">
        <v>120</v>
      </c>
      <c r="M11" s="1" t="s">
        <v>93</v>
      </c>
      <c r="N11" s="1" t="s">
        <v>92</v>
      </c>
      <c r="O11" s="1" t="s">
        <v>120</v>
      </c>
      <c r="P11" s="1" t="s">
        <v>94</v>
      </c>
      <c r="Q11" s="1" t="s">
        <v>94</v>
      </c>
      <c r="R11" s="1" t="s">
        <v>94</v>
      </c>
      <c r="S11" s="1" t="s">
        <v>96</v>
      </c>
      <c r="T11" s="1" t="s">
        <v>96</v>
      </c>
      <c r="U11" s="1" t="s">
        <v>93</v>
      </c>
      <c r="V11" s="1" t="s">
        <v>93</v>
      </c>
      <c r="W11" s="1" t="s">
        <v>96</v>
      </c>
      <c r="X11" s="1" t="s">
        <v>96</v>
      </c>
      <c r="Y11" s="1" t="s">
        <v>131</v>
      </c>
      <c r="Z11" s="1" t="s">
        <v>101</v>
      </c>
      <c r="AA11" s="1" t="s">
        <v>96</v>
      </c>
      <c r="AB11" s="1" t="s">
        <v>44</v>
      </c>
      <c r="AC11" s="1" t="s">
        <v>93</v>
      </c>
      <c r="AD11" s="1" t="s">
        <v>138</v>
      </c>
      <c r="AE11" s="1" t="s">
        <v>98</v>
      </c>
      <c r="AF11" s="1" t="s">
        <v>120</v>
      </c>
      <c r="AG11" s="1" t="s">
        <v>120</v>
      </c>
      <c r="AH11" s="1" t="s">
        <v>100</v>
      </c>
      <c r="AI11" s="1" t="s">
        <v>142</v>
      </c>
      <c r="AJ11" s="1" t="s">
        <v>145</v>
      </c>
      <c r="AK11" s="26" t="s">
        <v>180</v>
      </c>
      <c r="AL11" s="1" t="s">
        <v>161</v>
      </c>
      <c r="AM11" s="1" t="s">
        <v>162</v>
      </c>
      <c r="AN11" s="1" t="s">
        <v>38</v>
      </c>
      <c r="AO11" s="1" t="s">
        <v>152</v>
      </c>
      <c r="AP11" s="1" t="s">
        <v>154</v>
      </c>
      <c r="AQ11" s="1" t="s">
        <v>181</v>
      </c>
      <c r="AR11" s="1" t="s">
        <v>96</v>
      </c>
      <c r="AS11" s="1" t="s">
        <v>93</v>
      </c>
      <c r="AT11" s="1" t="s">
        <v>158</v>
      </c>
    </row>
    <row r="12" spans="1:46" ht="30" x14ac:dyDescent="0.25">
      <c r="A12" s="1" t="s">
        <v>103</v>
      </c>
      <c r="B12" s="1" t="s">
        <v>30</v>
      </c>
      <c r="C12" s="1" t="s">
        <v>164</v>
      </c>
      <c r="D12" s="1" t="s">
        <v>107</v>
      </c>
      <c r="E12" s="1" t="s">
        <v>95</v>
      </c>
      <c r="F12" s="1" t="s">
        <v>95</v>
      </c>
      <c r="G12" s="1" t="s">
        <v>113</v>
      </c>
      <c r="H12" s="1" t="s">
        <v>92</v>
      </c>
      <c r="I12" s="1" t="s">
        <v>96</v>
      </c>
      <c r="J12" s="1" t="s">
        <v>95</v>
      </c>
      <c r="K12" s="1" t="s">
        <v>160</v>
      </c>
      <c r="L12" s="1" t="s">
        <v>120</v>
      </c>
      <c r="M12" s="1" t="s">
        <v>93</v>
      </c>
      <c r="N12" s="1" t="s">
        <v>92</v>
      </c>
      <c r="O12" s="1" t="s">
        <v>120</v>
      </c>
      <c r="P12" s="1" t="s">
        <v>94</v>
      </c>
      <c r="Q12" s="1" t="s">
        <v>94</v>
      </c>
      <c r="R12" s="1" t="s">
        <v>94</v>
      </c>
      <c r="S12" s="1" t="s">
        <v>96</v>
      </c>
      <c r="T12" s="1" t="s">
        <v>96</v>
      </c>
      <c r="U12" s="1" t="s">
        <v>93</v>
      </c>
      <c r="V12" s="1" t="s">
        <v>93</v>
      </c>
      <c r="W12" s="1" t="s">
        <v>96</v>
      </c>
      <c r="X12" s="1" t="s">
        <v>96</v>
      </c>
      <c r="Y12" s="1" t="s">
        <v>131</v>
      </c>
      <c r="Z12" s="1" t="s">
        <v>101</v>
      </c>
      <c r="AA12" s="1" t="s">
        <v>96</v>
      </c>
      <c r="AB12" s="1" t="s">
        <v>44</v>
      </c>
      <c r="AC12" s="1" t="s">
        <v>93</v>
      </c>
      <c r="AD12" s="1" t="s">
        <v>138</v>
      </c>
      <c r="AE12" s="1" t="s">
        <v>98</v>
      </c>
      <c r="AF12" s="1" t="s">
        <v>120</v>
      </c>
      <c r="AG12" s="1" t="s">
        <v>120</v>
      </c>
      <c r="AH12" s="1" t="s">
        <v>100</v>
      </c>
      <c r="AI12" s="1" t="s">
        <v>142</v>
      </c>
      <c r="AJ12" s="1" t="s">
        <v>145</v>
      </c>
      <c r="AK12" s="26" t="s">
        <v>182</v>
      </c>
      <c r="AL12" s="1" t="s">
        <v>161</v>
      </c>
      <c r="AM12" s="1" t="s">
        <v>162</v>
      </c>
      <c r="AN12" s="1" t="s">
        <v>38</v>
      </c>
      <c r="AO12" s="1" t="s">
        <v>152</v>
      </c>
      <c r="AP12" s="1" t="s">
        <v>154</v>
      </c>
      <c r="AQ12" s="1" t="s">
        <v>183</v>
      </c>
      <c r="AR12" s="1" t="s">
        <v>96</v>
      </c>
      <c r="AS12" s="1" t="s">
        <v>93</v>
      </c>
      <c r="AT12" s="1" t="s">
        <v>158</v>
      </c>
    </row>
    <row r="13" spans="1:46" x14ac:dyDescent="0.25">
      <c r="A13" s="1" t="s">
        <v>103</v>
      </c>
      <c r="B13" s="1" t="s">
        <v>30</v>
      </c>
      <c r="C13" s="1" t="s">
        <v>164</v>
      </c>
      <c r="D13" s="1" t="s">
        <v>107</v>
      </c>
      <c r="E13" s="1" t="s">
        <v>95</v>
      </c>
      <c r="F13" s="1" t="s">
        <v>95</v>
      </c>
      <c r="G13" s="1" t="s">
        <v>113</v>
      </c>
      <c r="H13" s="1" t="s">
        <v>92</v>
      </c>
      <c r="I13" s="1" t="s">
        <v>96</v>
      </c>
      <c r="J13" s="1" t="s">
        <v>95</v>
      </c>
      <c r="K13" s="1" t="s">
        <v>160</v>
      </c>
      <c r="L13" s="1" t="s">
        <v>120</v>
      </c>
      <c r="M13" s="1" t="s">
        <v>93</v>
      </c>
      <c r="N13" s="1" t="s">
        <v>92</v>
      </c>
      <c r="O13" s="1" t="s">
        <v>120</v>
      </c>
      <c r="P13" s="1" t="s">
        <v>94</v>
      </c>
      <c r="Q13" s="1" t="s">
        <v>94</v>
      </c>
      <c r="R13" s="1" t="s">
        <v>94</v>
      </c>
      <c r="S13" s="1" t="s">
        <v>96</v>
      </c>
      <c r="T13" s="1" t="s">
        <v>96</v>
      </c>
      <c r="U13" s="1" t="s">
        <v>93</v>
      </c>
      <c r="V13" s="1" t="s">
        <v>93</v>
      </c>
      <c r="W13" s="1" t="s">
        <v>96</v>
      </c>
      <c r="X13" s="1" t="s">
        <v>96</v>
      </c>
      <c r="Y13" s="1" t="s">
        <v>131</v>
      </c>
      <c r="Z13" s="1" t="s">
        <v>101</v>
      </c>
      <c r="AA13" s="1" t="s">
        <v>96</v>
      </c>
      <c r="AB13" s="1" t="s">
        <v>44</v>
      </c>
      <c r="AC13" s="1" t="s">
        <v>93</v>
      </c>
      <c r="AD13" s="1" t="s">
        <v>138</v>
      </c>
      <c r="AE13" s="1" t="s">
        <v>98</v>
      </c>
      <c r="AF13" s="1" t="s">
        <v>120</v>
      </c>
      <c r="AG13" s="1" t="s">
        <v>120</v>
      </c>
      <c r="AH13" s="1" t="s">
        <v>100</v>
      </c>
      <c r="AI13" s="1" t="s">
        <v>142</v>
      </c>
      <c r="AJ13" s="1" t="s">
        <v>145</v>
      </c>
      <c r="AK13" s="1" t="s">
        <v>184</v>
      </c>
      <c r="AL13" s="1" t="s">
        <v>161</v>
      </c>
      <c r="AM13" s="1" t="s">
        <v>162</v>
      </c>
      <c r="AN13" s="1" t="s">
        <v>38</v>
      </c>
      <c r="AO13" s="1" t="s">
        <v>152</v>
      </c>
      <c r="AP13" s="1" t="s">
        <v>154</v>
      </c>
      <c r="AQ13" s="1" t="s">
        <v>185</v>
      </c>
      <c r="AR13" s="1" t="s">
        <v>96</v>
      </c>
      <c r="AS13" s="1" t="s">
        <v>93</v>
      </c>
      <c r="AT13" s="1" t="s">
        <v>158</v>
      </c>
    </row>
    <row r="14" spans="1:46" x14ac:dyDescent="0.25">
      <c r="A14" s="1" t="s">
        <v>103</v>
      </c>
      <c r="B14" s="1" t="s">
        <v>30</v>
      </c>
      <c r="C14" s="1" t="s">
        <v>164</v>
      </c>
      <c r="D14" s="1" t="s">
        <v>107</v>
      </c>
      <c r="E14" s="1" t="s">
        <v>95</v>
      </c>
      <c r="F14" s="1" t="s">
        <v>95</v>
      </c>
      <c r="G14" s="1" t="s">
        <v>113</v>
      </c>
      <c r="H14" s="1" t="s">
        <v>92</v>
      </c>
      <c r="I14" s="1" t="s">
        <v>96</v>
      </c>
      <c r="J14" s="1" t="s">
        <v>95</v>
      </c>
      <c r="K14" s="1" t="s">
        <v>160</v>
      </c>
      <c r="L14" s="1" t="s">
        <v>120</v>
      </c>
      <c r="M14" s="1" t="s">
        <v>93</v>
      </c>
      <c r="N14" s="1" t="s">
        <v>92</v>
      </c>
      <c r="O14" s="1" t="s">
        <v>120</v>
      </c>
      <c r="P14" s="1" t="s">
        <v>94</v>
      </c>
      <c r="Q14" s="1" t="s">
        <v>94</v>
      </c>
      <c r="R14" s="1" t="s">
        <v>94</v>
      </c>
      <c r="S14" s="1" t="s">
        <v>96</v>
      </c>
      <c r="T14" s="1" t="s">
        <v>96</v>
      </c>
      <c r="U14" s="1" t="s">
        <v>93</v>
      </c>
      <c r="V14" s="1" t="s">
        <v>93</v>
      </c>
      <c r="W14" s="1" t="s">
        <v>96</v>
      </c>
      <c r="X14" s="1" t="s">
        <v>96</v>
      </c>
      <c r="Y14" s="1" t="s">
        <v>131</v>
      </c>
      <c r="Z14" s="1" t="s">
        <v>101</v>
      </c>
      <c r="AA14" s="1" t="s">
        <v>96</v>
      </c>
      <c r="AB14" s="1" t="s">
        <v>44</v>
      </c>
      <c r="AC14" s="1" t="s">
        <v>93</v>
      </c>
      <c r="AD14" s="1" t="s">
        <v>138</v>
      </c>
      <c r="AE14" s="1" t="s">
        <v>98</v>
      </c>
      <c r="AF14" s="1" t="s">
        <v>120</v>
      </c>
      <c r="AG14" s="1" t="s">
        <v>120</v>
      </c>
      <c r="AH14" s="1" t="s">
        <v>100</v>
      </c>
      <c r="AI14" s="1" t="s">
        <v>142</v>
      </c>
      <c r="AJ14" s="1" t="s">
        <v>145</v>
      </c>
      <c r="AK14" s="1" t="s">
        <v>186</v>
      </c>
      <c r="AL14" s="1" t="s">
        <v>161</v>
      </c>
      <c r="AM14" s="1" t="s">
        <v>162</v>
      </c>
      <c r="AN14" s="1" t="s">
        <v>38</v>
      </c>
      <c r="AO14" s="1" t="s">
        <v>152</v>
      </c>
      <c r="AP14" s="1" t="s">
        <v>154</v>
      </c>
      <c r="AQ14" s="1" t="s">
        <v>187</v>
      </c>
      <c r="AR14" s="1" t="s">
        <v>96</v>
      </c>
      <c r="AS14" s="1" t="s">
        <v>93</v>
      </c>
      <c r="AT14" s="1" t="s">
        <v>158</v>
      </c>
    </row>
    <row r="15" spans="1:46" x14ac:dyDescent="0.25">
      <c r="A15" s="1" t="s">
        <v>103</v>
      </c>
      <c r="B15" s="1" t="s">
        <v>30</v>
      </c>
      <c r="C15" s="1" t="s">
        <v>164</v>
      </c>
      <c r="D15" s="1" t="s">
        <v>107</v>
      </c>
      <c r="E15" s="1" t="s">
        <v>95</v>
      </c>
      <c r="F15" s="1" t="s">
        <v>95</v>
      </c>
      <c r="G15" s="1" t="s">
        <v>113</v>
      </c>
      <c r="H15" s="1" t="s">
        <v>92</v>
      </c>
      <c r="I15" s="1" t="s">
        <v>96</v>
      </c>
      <c r="J15" s="1" t="s">
        <v>95</v>
      </c>
      <c r="K15" s="1" t="s">
        <v>160</v>
      </c>
      <c r="L15" s="1" t="s">
        <v>120</v>
      </c>
      <c r="M15" s="1" t="s">
        <v>93</v>
      </c>
      <c r="N15" s="1" t="s">
        <v>92</v>
      </c>
      <c r="O15" s="1" t="s">
        <v>120</v>
      </c>
      <c r="P15" s="1" t="s">
        <v>94</v>
      </c>
      <c r="Q15" s="1" t="s">
        <v>94</v>
      </c>
      <c r="R15" s="1" t="s">
        <v>94</v>
      </c>
      <c r="S15" s="1" t="s">
        <v>96</v>
      </c>
      <c r="T15" s="1" t="s">
        <v>96</v>
      </c>
      <c r="U15" s="1" t="s">
        <v>93</v>
      </c>
      <c r="V15" s="1" t="s">
        <v>93</v>
      </c>
      <c r="W15" s="44" t="s">
        <v>96</v>
      </c>
      <c r="X15" s="1" t="s">
        <v>96</v>
      </c>
      <c r="Y15" s="1" t="s">
        <v>131</v>
      </c>
      <c r="Z15" s="1" t="s">
        <v>101</v>
      </c>
      <c r="AA15" s="1" t="s">
        <v>96</v>
      </c>
      <c r="AB15" s="1" t="s">
        <v>44</v>
      </c>
      <c r="AC15" s="1" t="s">
        <v>93</v>
      </c>
      <c r="AD15" s="1" t="s">
        <v>138</v>
      </c>
      <c r="AE15" s="1" t="s">
        <v>98</v>
      </c>
      <c r="AF15" s="1" t="s">
        <v>120</v>
      </c>
      <c r="AG15" s="1" t="s">
        <v>120</v>
      </c>
      <c r="AH15" s="1" t="s">
        <v>100</v>
      </c>
      <c r="AI15" s="1" t="s">
        <v>142</v>
      </c>
      <c r="AJ15" s="1" t="s">
        <v>145</v>
      </c>
      <c r="AK15" s="1" t="s">
        <v>188</v>
      </c>
      <c r="AL15" s="1" t="s">
        <v>161</v>
      </c>
      <c r="AM15" s="1" t="s">
        <v>162</v>
      </c>
      <c r="AN15" s="1" t="s">
        <v>38</v>
      </c>
      <c r="AO15" s="1" t="s">
        <v>152</v>
      </c>
      <c r="AP15" s="1" t="s">
        <v>154</v>
      </c>
      <c r="AQ15" s="1" t="s">
        <v>189</v>
      </c>
      <c r="AR15" s="1" t="s">
        <v>96</v>
      </c>
      <c r="AS15" s="1" t="s">
        <v>93</v>
      </c>
      <c r="AT15" s="1" t="s">
        <v>158</v>
      </c>
    </row>
    <row r="16" spans="1:46" x14ac:dyDescent="0.25">
      <c r="A16" s="1" t="s">
        <v>103</v>
      </c>
      <c r="B16" s="1" t="s">
        <v>30</v>
      </c>
      <c r="C16" s="1" t="s">
        <v>164</v>
      </c>
      <c r="D16" s="1" t="s">
        <v>107</v>
      </c>
      <c r="E16" s="1" t="s">
        <v>95</v>
      </c>
      <c r="F16" s="1" t="s">
        <v>95</v>
      </c>
      <c r="G16" s="1" t="s">
        <v>113</v>
      </c>
      <c r="H16" s="1" t="s">
        <v>92</v>
      </c>
      <c r="I16" s="1" t="s">
        <v>96</v>
      </c>
      <c r="J16" s="1" t="s">
        <v>95</v>
      </c>
      <c r="K16" s="1" t="s">
        <v>160</v>
      </c>
      <c r="L16" s="1" t="s">
        <v>120</v>
      </c>
      <c r="M16" s="1" t="s">
        <v>93</v>
      </c>
      <c r="N16" s="1" t="s">
        <v>92</v>
      </c>
      <c r="O16" s="1" t="s">
        <v>120</v>
      </c>
      <c r="P16" s="1" t="s">
        <v>94</v>
      </c>
      <c r="Q16" s="1" t="s">
        <v>94</v>
      </c>
      <c r="R16" s="1" t="s">
        <v>94</v>
      </c>
      <c r="S16" s="1" t="s">
        <v>96</v>
      </c>
      <c r="T16" s="1" t="s">
        <v>96</v>
      </c>
      <c r="U16" s="1" t="s">
        <v>93</v>
      </c>
      <c r="V16" s="1" t="s">
        <v>93</v>
      </c>
      <c r="W16" s="44" t="s">
        <v>96</v>
      </c>
      <c r="X16" s="1" t="s">
        <v>96</v>
      </c>
      <c r="Y16" s="1" t="s">
        <v>131</v>
      </c>
      <c r="Z16" s="1" t="s">
        <v>101</v>
      </c>
      <c r="AA16" s="1" t="s">
        <v>96</v>
      </c>
      <c r="AB16" s="1" t="s">
        <v>44</v>
      </c>
      <c r="AC16" s="1" t="s">
        <v>93</v>
      </c>
      <c r="AD16" s="1" t="s">
        <v>138</v>
      </c>
      <c r="AE16" s="1" t="s">
        <v>98</v>
      </c>
      <c r="AF16" s="1" t="s">
        <v>120</v>
      </c>
      <c r="AG16" s="1" t="s">
        <v>120</v>
      </c>
      <c r="AH16" s="1" t="s">
        <v>100</v>
      </c>
      <c r="AI16" s="1" t="s">
        <v>142</v>
      </c>
      <c r="AJ16" s="1" t="s">
        <v>145</v>
      </c>
      <c r="AK16" s="1" t="s">
        <v>190</v>
      </c>
      <c r="AL16" s="1" t="s">
        <v>161</v>
      </c>
      <c r="AM16" s="1" t="s">
        <v>162</v>
      </c>
      <c r="AN16" s="1" t="s">
        <v>38</v>
      </c>
      <c r="AO16" s="1" t="s">
        <v>152</v>
      </c>
      <c r="AP16" s="1" t="s">
        <v>154</v>
      </c>
      <c r="AQ16" s="1" t="s">
        <v>191</v>
      </c>
      <c r="AR16" s="1" t="s">
        <v>96</v>
      </c>
      <c r="AS16" s="1" t="s">
        <v>93</v>
      </c>
      <c r="AT16" s="1" t="s">
        <v>158</v>
      </c>
    </row>
    <row r="17" spans="1:46" x14ac:dyDescent="0.25">
      <c r="A17" s="1" t="s">
        <v>103</v>
      </c>
      <c r="B17" s="1" t="s">
        <v>30</v>
      </c>
      <c r="C17" s="1" t="s">
        <v>164</v>
      </c>
      <c r="D17" s="1" t="s">
        <v>107</v>
      </c>
      <c r="E17" s="1" t="s">
        <v>95</v>
      </c>
      <c r="F17" s="1" t="s">
        <v>95</v>
      </c>
      <c r="G17" s="1" t="s">
        <v>113</v>
      </c>
      <c r="H17" s="1" t="s">
        <v>92</v>
      </c>
      <c r="I17" s="1" t="s">
        <v>96</v>
      </c>
      <c r="J17" s="1" t="s">
        <v>95</v>
      </c>
      <c r="K17" s="1" t="s">
        <v>160</v>
      </c>
      <c r="L17" s="1" t="s">
        <v>120</v>
      </c>
      <c r="M17" s="1" t="s">
        <v>93</v>
      </c>
      <c r="N17" s="1" t="s">
        <v>92</v>
      </c>
      <c r="O17" s="1" t="s">
        <v>120</v>
      </c>
      <c r="P17" s="1" t="s">
        <v>94</v>
      </c>
      <c r="Q17" s="1" t="s">
        <v>94</v>
      </c>
      <c r="R17" s="1" t="s">
        <v>94</v>
      </c>
      <c r="S17" s="1" t="s">
        <v>96</v>
      </c>
      <c r="T17" s="1" t="s">
        <v>96</v>
      </c>
      <c r="U17" s="1" t="s">
        <v>93</v>
      </c>
      <c r="V17" s="1" t="s">
        <v>93</v>
      </c>
      <c r="W17" s="44" t="s">
        <v>96</v>
      </c>
      <c r="X17" s="1" t="s">
        <v>96</v>
      </c>
      <c r="Y17" s="1" t="s">
        <v>131</v>
      </c>
      <c r="Z17" s="1" t="s">
        <v>101</v>
      </c>
      <c r="AA17" s="1" t="s">
        <v>96</v>
      </c>
      <c r="AB17" s="1" t="s">
        <v>44</v>
      </c>
      <c r="AC17" s="1" t="s">
        <v>93</v>
      </c>
      <c r="AD17" s="1" t="s">
        <v>138</v>
      </c>
      <c r="AE17" s="1" t="s">
        <v>98</v>
      </c>
      <c r="AF17" s="1" t="s">
        <v>120</v>
      </c>
      <c r="AG17" s="1" t="s">
        <v>120</v>
      </c>
      <c r="AH17" s="1" t="s">
        <v>100</v>
      </c>
      <c r="AI17" s="1" t="s">
        <v>142</v>
      </c>
      <c r="AJ17" s="1" t="s">
        <v>145</v>
      </c>
      <c r="AK17" s="1" t="s">
        <v>192</v>
      </c>
      <c r="AL17" s="1" t="s">
        <v>161</v>
      </c>
      <c r="AM17" s="1" t="s">
        <v>162</v>
      </c>
      <c r="AN17" s="1" t="s">
        <v>38</v>
      </c>
      <c r="AO17" s="1" t="s">
        <v>152</v>
      </c>
      <c r="AP17" s="1" t="s">
        <v>154</v>
      </c>
      <c r="AQ17" s="1" t="s">
        <v>193</v>
      </c>
      <c r="AR17" s="1" t="s">
        <v>96</v>
      </c>
      <c r="AS17" s="1" t="s">
        <v>93</v>
      </c>
      <c r="AT17" s="1" t="s">
        <v>158</v>
      </c>
    </row>
    <row r="18" spans="1:46" x14ac:dyDescent="0.25">
      <c r="A18" s="1" t="s">
        <v>103</v>
      </c>
      <c r="B18" s="1" t="s">
        <v>30</v>
      </c>
      <c r="C18" s="1" t="s">
        <v>164</v>
      </c>
      <c r="D18" s="1" t="s">
        <v>107</v>
      </c>
      <c r="E18" s="1" t="s">
        <v>95</v>
      </c>
      <c r="F18" s="1" t="s">
        <v>95</v>
      </c>
      <c r="G18" s="1" t="s">
        <v>113</v>
      </c>
      <c r="H18" s="1" t="s">
        <v>92</v>
      </c>
      <c r="I18" s="1" t="s">
        <v>96</v>
      </c>
      <c r="J18" s="1" t="s">
        <v>95</v>
      </c>
      <c r="K18" s="1" t="s">
        <v>160</v>
      </c>
      <c r="L18" s="1" t="s">
        <v>120</v>
      </c>
      <c r="M18" s="1" t="s">
        <v>93</v>
      </c>
      <c r="N18" s="1" t="s">
        <v>92</v>
      </c>
      <c r="O18" s="1" t="s">
        <v>120</v>
      </c>
      <c r="P18" s="1" t="s">
        <v>94</v>
      </c>
      <c r="Q18" s="1" t="s">
        <v>94</v>
      </c>
      <c r="R18" s="1" t="s">
        <v>94</v>
      </c>
      <c r="S18" s="1" t="s">
        <v>96</v>
      </c>
      <c r="T18" s="1" t="s">
        <v>96</v>
      </c>
      <c r="U18" s="1" t="s">
        <v>93</v>
      </c>
      <c r="V18" s="1" t="s">
        <v>93</v>
      </c>
      <c r="W18" s="1" t="s">
        <v>96</v>
      </c>
      <c r="X18" s="1" t="s">
        <v>96</v>
      </c>
      <c r="Y18" s="1" t="s">
        <v>131</v>
      </c>
      <c r="Z18" s="1" t="s">
        <v>101</v>
      </c>
      <c r="AA18" s="1" t="s">
        <v>96</v>
      </c>
      <c r="AB18" s="1" t="s">
        <v>44</v>
      </c>
      <c r="AC18" s="1" t="s">
        <v>93</v>
      </c>
      <c r="AD18" s="1" t="s">
        <v>138</v>
      </c>
      <c r="AE18" s="1" t="s">
        <v>98</v>
      </c>
      <c r="AF18" s="1" t="s">
        <v>120</v>
      </c>
      <c r="AG18" s="1" t="s">
        <v>120</v>
      </c>
      <c r="AH18" s="1" t="s">
        <v>100</v>
      </c>
      <c r="AI18" s="1" t="s">
        <v>142</v>
      </c>
      <c r="AJ18" s="1" t="s">
        <v>145</v>
      </c>
      <c r="AK18" s="1" t="s">
        <v>194</v>
      </c>
      <c r="AL18" s="1" t="s">
        <v>161</v>
      </c>
      <c r="AM18" s="1" t="s">
        <v>162</v>
      </c>
      <c r="AN18" s="1" t="s">
        <v>38</v>
      </c>
      <c r="AO18" s="1" t="s">
        <v>152</v>
      </c>
      <c r="AP18" s="1" t="s">
        <v>154</v>
      </c>
      <c r="AQ18" s="1" t="s">
        <v>195</v>
      </c>
      <c r="AR18" s="1" t="s">
        <v>96</v>
      </c>
      <c r="AS18" s="1" t="s">
        <v>93</v>
      </c>
      <c r="AT18" s="1" t="s">
        <v>158</v>
      </c>
    </row>
    <row r="19" spans="1:46" x14ac:dyDescent="0.25">
      <c r="A19" s="1" t="s">
        <v>103</v>
      </c>
      <c r="B19" s="1" t="s">
        <v>30</v>
      </c>
      <c r="C19" s="1" t="s">
        <v>164</v>
      </c>
      <c r="D19" s="1" t="s">
        <v>107</v>
      </c>
      <c r="E19" s="1" t="s">
        <v>95</v>
      </c>
      <c r="F19" s="1" t="s">
        <v>95</v>
      </c>
      <c r="G19" s="1" t="s">
        <v>113</v>
      </c>
      <c r="H19" s="1" t="s">
        <v>92</v>
      </c>
      <c r="I19" s="1" t="s">
        <v>96</v>
      </c>
      <c r="J19" s="1" t="s">
        <v>95</v>
      </c>
      <c r="K19" s="1" t="s">
        <v>160</v>
      </c>
      <c r="L19" s="1" t="s">
        <v>120</v>
      </c>
      <c r="M19" s="1" t="s">
        <v>93</v>
      </c>
      <c r="N19" s="1" t="s">
        <v>92</v>
      </c>
      <c r="O19" s="1" t="s">
        <v>120</v>
      </c>
      <c r="P19" s="1" t="s">
        <v>94</v>
      </c>
      <c r="Q19" s="1" t="s">
        <v>94</v>
      </c>
      <c r="R19" s="1" t="s">
        <v>94</v>
      </c>
      <c r="S19" s="1" t="s">
        <v>96</v>
      </c>
      <c r="T19" s="1" t="s">
        <v>96</v>
      </c>
      <c r="U19" s="1" t="s">
        <v>93</v>
      </c>
      <c r="V19" s="1" t="s">
        <v>93</v>
      </c>
      <c r="W19" s="1" t="s">
        <v>96</v>
      </c>
      <c r="X19" s="1" t="s">
        <v>96</v>
      </c>
      <c r="Y19" s="1" t="s">
        <v>131</v>
      </c>
      <c r="Z19" s="1" t="s">
        <v>101</v>
      </c>
      <c r="AA19" s="1" t="s">
        <v>96</v>
      </c>
      <c r="AB19" s="1" t="s">
        <v>44</v>
      </c>
      <c r="AC19" s="1" t="s">
        <v>93</v>
      </c>
      <c r="AD19" s="1" t="s">
        <v>138</v>
      </c>
      <c r="AE19" s="1" t="s">
        <v>98</v>
      </c>
      <c r="AF19" s="1" t="s">
        <v>120</v>
      </c>
      <c r="AG19" s="1" t="s">
        <v>120</v>
      </c>
      <c r="AH19" s="1" t="s">
        <v>100</v>
      </c>
      <c r="AI19" s="1" t="s">
        <v>142</v>
      </c>
      <c r="AJ19" s="1" t="s">
        <v>145</v>
      </c>
      <c r="AK19" s="1" t="s">
        <v>196</v>
      </c>
      <c r="AL19" s="1" t="s">
        <v>161</v>
      </c>
      <c r="AM19" s="1" t="s">
        <v>162</v>
      </c>
      <c r="AN19" s="1" t="s">
        <v>38</v>
      </c>
      <c r="AO19" s="1" t="s">
        <v>152</v>
      </c>
      <c r="AP19" s="1" t="s">
        <v>154</v>
      </c>
      <c r="AQ19" s="1" t="s">
        <v>197</v>
      </c>
      <c r="AR19" s="1" t="s">
        <v>96</v>
      </c>
      <c r="AS19" s="1" t="s">
        <v>93</v>
      </c>
      <c r="AT19" s="1" t="s">
        <v>158</v>
      </c>
    </row>
    <row r="20" spans="1:46" x14ac:dyDescent="0.25">
      <c r="A20" s="1" t="s">
        <v>103</v>
      </c>
      <c r="B20" s="1" t="s">
        <v>30</v>
      </c>
      <c r="C20" s="1" t="s">
        <v>164</v>
      </c>
      <c r="D20" s="1" t="s">
        <v>107</v>
      </c>
      <c r="E20" s="1" t="s">
        <v>95</v>
      </c>
      <c r="F20" s="1" t="s">
        <v>95</v>
      </c>
      <c r="G20" s="1" t="s">
        <v>113</v>
      </c>
      <c r="H20" s="1" t="s">
        <v>92</v>
      </c>
      <c r="I20" s="1" t="s">
        <v>96</v>
      </c>
      <c r="J20" s="1" t="s">
        <v>95</v>
      </c>
      <c r="K20" s="1" t="s">
        <v>160</v>
      </c>
      <c r="L20" s="1" t="s">
        <v>120</v>
      </c>
      <c r="M20" s="1" t="s">
        <v>93</v>
      </c>
      <c r="N20" s="1" t="s">
        <v>92</v>
      </c>
      <c r="O20" s="1" t="s">
        <v>120</v>
      </c>
      <c r="P20" s="1" t="s">
        <v>94</v>
      </c>
      <c r="Q20" s="1" t="s">
        <v>94</v>
      </c>
      <c r="R20" s="1" t="s">
        <v>94</v>
      </c>
      <c r="S20" s="1" t="s">
        <v>96</v>
      </c>
      <c r="T20" s="1" t="s">
        <v>96</v>
      </c>
      <c r="U20" s="1" t="s">
        <v>93</v>
      </c>
      <c r="V20" s="1" t="s">
        <v>93</v>
      </c>
      <c r="W20" s="1" t="s">
        <v>96</v>
      </c>
      <c r="X20" s="1" t="s">
        <v>96</v>
      </c>
      <c r="Y20" s="1" t="s">
        <v>131</v>
      </c>
      <c r="Z20" s="1" t="s">
        <v>101</v>
      </c>
      <c r="AA20" s="1" t="s">
        <v>96</v>
      </c>
      <c r="AB20" s="1" t="s">
        <v>44</v>
      </c>
      <c r="AC20" s="1" t="s">
        <v>93</v>
      </c>
      <c r="AD20" s="1" t="s">
        <v>138</v>
      </c>
      <c r="AE20" s="1" t="s">
        <v>98</v>
      </c>
      <c r="AF20" s="1" t="s">
        <v>120</v>
      </c>
      <c r="AG20" s="1" t="s">
        <v>120</v>
      </c>
      <c r="AH20" s="1" t="s">
        <v>100</v>
      </c>
      <c r="AI20" s="1" t="s">
        <v>142</v>
      </c>
      <c r="AJ20" s="1" t="s">
        <v>145</v>
      </c>
      <c r="AK20" s="1" t="s">
        <v>198</v>
      </c>
      <c r="AL20" s="1" t="s">
        <v>161</v>
      </c>
      <c r="AM20" s="1" t="s">
        <v>162</v>
      </c>
      <c r="AN20" s="1" t="s">
        <v>38</v>
      </c>
      <c r="AO20" s="1" t="s">
        <v>152</v>
      </c>
      <c r="AP20" s="1" t="s">
        <v>154</v>
      </c>
      <c r="AQ20" s="1" t="s">
        <v>199</v>
      </c>
      <c r="AR20" s="1" t="s">
        <v>96</v>
      </c>
      <c r="AS20" s="1" t="s">
        <v>93</v>
      </c>
      <c r="AT20" s="1" t="s">
        <v>158</v>
      </c>
    </row>
    <row r="21" spans="1:46" x14ac:dyDescent="0.25">
      <c r="A21" s="1" t="s">
        <v>103</v>
      </c>
      <c r="B21" s="1" t="s">
        <v>30</v>
      </c>
      <c r="C21" s="1" t="s">
        <v>164</v>
      </c>
      <c r="D21" s="1" t="s">
        <v>107</v>
      </c>
      <c r="E21" s="1" t="s">
        <v>95</v>
      </c>
      <c r="F21" s="1" t="s">
        <v>95</v>
      </c>
      <c r="G21" s="1" t="s">
        <v>113</v>
      </c>
      <c r="H21" s="1" t="s">
        <v>92</v>
      </c>
      <c r="I21" s="1" t="s">
        <v>96</v>
      </c>
      <c r="J21" s="1" t="s">
        <v>95</v>
      </c>
      <c r="K21" s="1" t="s">
        <v>160</v>
      </c>
      <c r="L21" s="1" t="s">
        <v>120</v>
      </c>
      <c r="M21" s="1" t="s">
        <v>93</v>
      </c>
      <c r="N21" s="1" t="s">
        <v>92</v>
      </c>
      <c r="O21" s="1" t="s">
        <v>120</v>
      </c>
      <c r="P21" s="1" t="s">
        <v>94</v>
      </c>
      <c r="Q21" s="1" t="s">
        <v>94</v>
      </c>
      <c r="R21" s="1" t="s">
        <v>94</v>
      </c>
      <c r="S21" s="1" t="s">
        <v>96</v>
      </c>
      <c r="T21" s="1" t="s">
        <v>96</v>
      </c>
      <c r="U21" s="1" t="s">
        <v>93</v>
      </c>
      <c r="V21" s="1" t="s">
        <v>93</v>
      </c>
      <c r="W21" s="1" t="s">
        <v>96</v>
      </c>
      <c r="X21" s="1" t="s">
        <v>96</v>
      </c>
      <c r="Y21" s="1" t="s">
        <v>131</v>
      </c>
      <c r="Z21" s="1" t="s">
        <v>101</v>
      </c>
      <c r="AA21" s="1" t="s">
        <v>96</v>
      </c>
      <c r="AB21" s="1" t="s">
        <v>44</v>
      </c>
      <c r="AC21" s="1" t="s">
        <v>93</v>
      </c>
      <c r="AD21" s="1" t="s">
        <v>138</v>
      </c>
      <c r="AE21" s="1" t="s">
        <v>98</v>
      </c>
      <c r="AF21" s="1" t="s">
        <v>120</v>
      </c>
      <c r="AG21" s="1" t="s">
        <v>120</v>
      </c>
      <c r="AH21" s="1" t="s">
        <v>100</v>
      </c>
      <c r="AI21" s="1" t="s">
        <v>142</v>
      </c>
      <c r="AJ21" s="1" t="s">
        <v>145</v>
      </c>
      <c r="AK21" s="1" t="s">
        <v>200</v>
      </c>
      <c r="AL21" s="1" t="s">
        <v>161</v>
      </c>
      <c r="AM21" s="1" t="s">
        <v>162</v>
      </c>
      <c r="AN21" s="1" t="s">
        <v>38</v>
      </c>
      <c r="AO21" s="1" t="s">
        <v>152</v>
      </c>
      <c r="AP21" s="1" t="s">
        <v>154</v>
      </c>
      <c r="AQ21" s="1" t="s">
        <v>201</v>
      </c>
      <c r="AR21" s="1" t="s">
        <v>96</v>
      </c>
      <c r="AS21" s="1" t="s">
        <v>93</v>
      </c>
      <c r="AT21" s="1" t="s">
        <v>158</v>
      </c>
    </row>
    <row r="22" spans="1:46" x14ac:dyDescent="0.25">
      <c r="A22" s="1" t="s">
        <v>103</v>
      </c>
      <c r="B22" s="1" t="s">
        <v>30</v>
      </c>
      <c r="C22" s="1" t="s">
        <v>164</v>
      </c>
      <c r="D22" s="1" t="s">
        <v>107</v>
      </c>
      <c r="E22" s="1" t="s">
        <v>95</v>
      </c>
      <c r="F22" s="1" t="s">
        <v>95</v>
      </c>
      <c r="G22" s="1" t="s">
        <v>113</v>
      </c>
      <c r="H22" s="1" t="s">
        <v>92</v>
      </c>
      <c r="I22" s="1" t="s">
        <v>96</v>
      </c>
      <c r="J22" s="1" t="s">
        <v>95</v>
      </c>
      <c r="K22" s="1" t="s">
        <v>160</v>
      </c>
      <c r="L22" s="1" t="s">
        <v>120</v>
      </c>
      <c r="M22" s="1" t="s">
        <v>93</v>
      </c>
      <c r="N22" s="1" t="s">
        <v>92</v>
      </c>
      <c r="O22" s="1" t="s">
        <v>120</v>
      </c>
      <c r="P22" s="1" t="s">
        <v>94</v>
      </c>
      <c r="Q22" s="1" t="s">
        <v>94</v>
      </c>
      <c r="R22" s="1" t="s">
        <v>94</v>
      </c>
      <c r="S22" s="1" t="s">
        <v>96</v>
      </c>
      <c r="T22" s="1" t="s">
        <v>96</v>
      </c>
      <c r="U22" s="1" t="s">
        <v>93</v>
      </c>
      <c r="V22" s="1" t="s">
        <v>93</v>
      </c>
      <c r="W22" s="1" t="s">
        <v>96</v>
      </c>
      <c r="X22" s="1" t="s">
        <v>96</v>
      </c>
      <c r="Y22" s="1" t="s">
        <v>131</v>
      </c>
      <c r="Z22" s="1" t="s">
        <v>101</v>
      </c>
      <c r="AA22" s="1" t="s">
        <v>96</v>
      </c>
      <c r="AB22" s="1" t="s">
        <v>44</v>
      </c>
      <c r="AC22" s="1" t="s">
        <v>93</v>
      </c>
      <c r="AD22" s="1" t="s">
        <v>138</v>
      </c>
      <c r="AE22" s="1" t="s">
        <v>98</v>
      </c>
      <c r="AF22" s="1" t="s">
        <v>120</v>
      </c>
      <c r="AG22" s="1" t="s">
        <v>120</v>
      </c>
      <c r="AH22" s="1" t="s">
        <v>100</v>
      </c>
      <c r="AI22" s="1" t="s">
        <v>142</v>
      </c>
      <c r="AJ22" s="1" t="s">
        <v>145</v>
      </c>
      <c r="AK22" s="1" t="s">
        <v>202</v>
      </c>
      <c r="AL22" s="1" t="s">
        <v>161</v>
      </c>
      <c r="AM22" s="1" t="s">
        <v>162</v>
      </c>
      <c r="AN22" s="1" t="s">
        <v>38</v>
      </c>
      <c r="AO22" s="1" t="s">
        <v>152</v>
      </c>
      <c r="AP22" s="1" t="s">
        <v>154</v>
      </c>
      <c r="AQ22" s="1" t="s">
        <v>203</v>
      </c>
      <c r="AR22" s="1" t="s">
        <v>96</v>
      </c>
      <c r="AS22" s="1" t="s">
        <v>93</v>
      </c>
      <c r="AT22" s="1" t="s">
        <v>158</v>
      </c>
    </row>
    <row r="23" spans="1:46"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row>
    <row r="24" spans="1:46"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row>
    <row r="25" spans="1:46"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row>
    <row r="26" spans="1:46"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row>
    <row r="27" spans="1:46"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row>
    <row r="28" spans="1:4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row>
    <row r="29" spans="1:46"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row>
    <row r="30" spans="1:46"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row>
    <row r="31" spans="1:46"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row>
    <row r="32" spans="1:46"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row>
    <row r="33" spans="1:46"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row>
    <row r="34" spans="1:46"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row>
    <row r="35" spans="1:46"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row>
    <row r="36" spans="1:46"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row>
    <row r="37" spans="1:46"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row>
    <row r="38" spans="1:46"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row>
    <row r="39" spans="1:4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row>
    <row r="40" spans="1:46"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row>
    <row r="41" spans="1:46"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row>
    <row r="42" spans="1:46"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row>
    <row r="43" spans="1:46"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row>
    <row r="44" spans="1:46"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row>
    <row r="45" spans="1:46"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row>
    <row r="46" spans="1:46"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row>
    <row r="47" spans="1:46"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row>
    <row r="48" spans="1:46"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row>
    <row r="49" spans="1:46"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row>
    <row r="50" spans="1:4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row>
    <row r="51" spans="1:46"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row>
    <row r="52" spans="1:46"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row>
    <row r="53" spans="1:46"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row>
    <row r="54" spans="1:46"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row>
    <row r="55" spans="1:46"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row>
    <row r="56" spans="1:46"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row>
    <row r="57" spans="1:46"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row>
    <row r="58" spans="1:46"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row>
    <row r="59" spans="1:46"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row>
    <row r="60" spans="1:46"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row>
    <row r="61" spans="1:46"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row>
    <row r="62" spans="1:46"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row>
    <row r="63" spans="1:46"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row>
    <row r="64" spans="1:46"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row>
    <row r="65" spans="1:46"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row>
    <row r="66" spans="1:46"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row>
    <row r="67" spans="1:46"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row>
    <row r="68" spans="1:46"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row>
    <row r="69" spans="1:46"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row>
    <row r="70" spans="1:46"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row>
    <row r="71" spans="1:46"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row>
    <row r="72" spans="1:46"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row>
    <row r="73" spans="1:46"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row>
    <row r="74" spans="1:46"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row>
    <row r="75" spans="1:46"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row>
    <row r="76" spans="1:46"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row>
    <row r="77" spans="1:46"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row>
    <row r="78" spans="1:46"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row>
    <row r="79" spans="1:4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row>
    <row r="80" spans="1:4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row>
    <row r="81" spans="1:4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row>
    <row r="82" spans="1:4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row>
    <row r="83" spans="1:4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row>
    <row r="84" spans="1:4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row>
    <row r="85" spans="1:4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row>
    <row r="86" spans="1:4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row>
    <row r="87" spans="1:4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row>
    <row r="88" spans="1:4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row>
    <row r="89" spans="1:4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row>
    <row r="90" spans="1:4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row>
    <row r="91" spans="1:4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row>
    <row r="92" spans="1:4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row>
    <row r="93" spans="1:4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row>
    <row r="94" spans="1:4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row>
    <row r="95" spans="1:4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row>
    <row r="96" spans="1:4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row>
    <row r="97" spans="1:4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row>
    <row r="98" spans="1:4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row>
    <row r="99" spans="1:4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row>
    <row r="100" spans="1:4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row>
    <row r="101" spans="1:4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row>
    <row r="102" spans="1:4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row>
    <row r="103" spans="1:4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row>
    <row r="104" spans="1:4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row>
    <row r="105" spans="1:4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row>
    <row r="106" spans="1:4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row>
    <row r="107" spans="1:4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row>
    <row r="108" spans="1:4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row>
    <row r="109" spans="1:4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row>
    <row r="110" spans="1:4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row>
    <row r="111" spans="1:4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row>
    <row r="112" spans="1:4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row>
    <row r="113" spans="1:4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row>
    <row r="114" spans="1:4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row>
    <row r="115" spans="1:4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row>
    <row r="116" spans="1:4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row>
    <row r="117" spans="1:4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row>
    <row r="118" spans="1:4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row>
    <row r="119" spans="1:4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row>
    <row r="120" spans="1:4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row>
    <row r="121" spans="1:4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row>
    <row r="122" spans="1:4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row>
    <row r="123" spans="1:4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row>
    <row r="124" spans="1:4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row>
    <row r="125" spans="1:4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row>
    <row r="126" spans="1:4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row>
    <row r="127" spans="1:4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row>
    <row r="128" spans="1:4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row>
    <row r="129" spans="1:4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row>
    <row r="130" spans="1:4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row>
    <row r="131" spans="1:4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row>
    <row r="132" spans="1:4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row>
    <row r="133" spans="1:4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row>
    <row r="134" spans="1:4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row>
    <row r="135" spans="1:4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row>
    <row r="136" spans="1:4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row>
    <row r="137" spans="1:4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row>
    <row r="138" spans="1:4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row>
    <row r="139" spans="1:4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row>
    <row r="140" spans="1:4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row>
    <row r="141" spans="1:4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row>
    <row r="142" spans="1:4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row>
    <row r="143" spans="1:4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row>
    <row r="144" spans="1:4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row>
    <row r="145" spans="1:4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row>
    <row r="146" spans="1:4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row>
    <row r="147" spans="1:4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row>
    <row r="148" spans="1:4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row>
    <row r="149" spans="1:4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row>
    <row r="150" spans="1:4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row>
    <row r="151" spans="1:4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row>
    <row r="152" spans="1:4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row>
    <row r="153" spans="1:4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row>
    <row r="154" spans="1:4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row>
    <row r="155" spans="1:4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row>
    <row r="156" spans="1:4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row>
    <row r="157" spans="1:4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row>
    <row r="158" spans="1:4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row>
    <row r="159" spans="1:4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row>
    <row r="160" spans="1:4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row>
    <row r="161" spans="1:4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row>
    <row r="162" spans="1:4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row>
    <row r="163" spans="1:4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row>
    <row r="164" spans="1:4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row>
    <row r="165" spans="1:4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row>
    <row r="166" spans="1:4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row>
    <row r="167" spans="1:4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row>
    <row r="168" spans="1:4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row>
    <row r="169" spans="1:4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row>
    <row r="170" spans="1:4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row>
    <row r="171" spans="1:4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row>
    <row r="172" spans="1:4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row>
    <row r="173" spans="1:4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row>
    <row r="174" spans="1:4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row>
    <row r="175" spans="1:4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row>
    <row r="176" spans="1:4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row>
    <row r="177" spans="1:4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row>
    <row r="178" spans="1:4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row>
    <row r="179" spans="1:4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row>
    <row r="180" spans="1:4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row>
    <row r="181" spans="1:4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row>
    <row r="182" spans="1:4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row>
    <row r="183" spans="1:4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row>
    <row r="184" spans="1:4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row>
    <row r="185" spans="1:4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row>
    <row r="186" spans="1:4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row>
    <row r="187" spans="1:4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row>
    <row r="188" spans="1:4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row>
    <row r="189" spans="1:4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row>
    <row r="190" spans="1:4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row>
    <row r="191" spans="1:4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row>
    <row r="192" spans="1:4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row>
    <row r="193" spans="1:4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row>
    <row r="194" spans="1:4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row>
    <row r="195" spans="1:4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row>
    <row r="196" spans="1:4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row>
    <row r="197" spans="1:4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row>
    <row r="198" spans="1:4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row>
    <row r="199" spans="1:4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row>
    <row r="200" spans="1:4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row>
    <row r="201" spans="1:4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row>
    <row r="202" spans="1:4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row>
    <row r="203" spans="1:4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row>
    <row r="204" spans="1:4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row>
    <row r="205" spans="1:4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row>
    <row r="206" spans="1:4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row>
    <row r="207" spans="1:4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row>
    <row r="208" spans="1:4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row>
    <row r="209" spans="1:4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row>
    <row r="210" spans="1:4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row>
    <row r="211" spans="1:4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row>
    <row r="212" spans="1:4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row>
    <row r="213" spans="1:4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row>
    <row r="214" spans="1:4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row>
    <row r="215" spans="1:4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row>
    <row r="216" spans="1:4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row>
    <row r="217" spans="1:4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row>
    <row r="218" spans="1:4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row>
    <row r="219" spans="1:4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row>
    <row r="220" spans="1:4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row>
    <row r="221" spans="1:4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row>
    <row r="222" spans="1:4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row>
    <row r="223" spans="1:4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row>
    <row r="224" spans="1:4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row>
    <row r="225" spans="1:4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row>
    <row r="226" spans="1:4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row>
    <row r="227" spans="1:4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row>
    <row r="228" spans="1:4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row>
    <row r="229" spans="1:4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row>
    <row r="230" spans="1:4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row>
    <row r="231" spans="1:4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row>
    <row r="232" spans="1:4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row>
    <row r="233" spans="1:4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row>
    <row r="234" spans="1:4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row>
    <row r="235" spans="1:4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row>
    <row r="236" spans="1:4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row>
    <row r="237" spans="1:4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row>
    <row r="238" spans="1:4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row>
    <row r="239" spans="1:4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row>
    <row r="240" spans="1:4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row>
    <row r="241" spans="1:4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row>
    <row r="242" spans="1:4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row>
    <row r="243" spans="1:4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row>
    <row r="244" spans="1:4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row>
    <row r="245" spans="1:4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row>
    <row r="246" spans="1:4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row>
    <row r="247" spans="1:4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row>
    <row r="248" spans="1:4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row>
    <row r="249" spans="1:4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row>
    <row r="250" spans="1:4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row>
    <row r="251" spans="1:4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row>
    <row r="252" spans="1:4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row>
    <row r="253" spans="1:4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row>
    <row r="254" spans="1:4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row>
    <row r="255" spans="1:4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row>
    <row r="256" spans="1:4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row>
    <row r="257" spans="1:4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row>
    <row r="258" spans="1:4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row>
    <row r="259" spans="1:4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row>
    <row r="260" spans="1:4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row>
    <row r="261" spans="1:4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row>
    <row r="262" spans="1:4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row>
    <row r="263" spans="1:4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row>
    <row r="264" spans="1:4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row>
    <row r="265" spans="1:4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row>
    <row r="266" spans="1:4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row>
    <row r="267" spans="1:4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row>
    <row r="268" spans="1:4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row>
    <row r="269" spans="1:4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row>
    <row r="270" spans="1:4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row>
    <row r="271" spans="1:4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row>
    <row r="272" spans="1:4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row>
    <row r="273" spans="1:4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row>
    <row r="274" spans="1:4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row>
    <row r="275" spans="1:4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row>
    <row r="276" spans="1:4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row>
    <row r="277" spans="1:4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row>
    <row r="278" spans="1:4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row>
    <row r="279" spans="1:4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row>
    <row r="280" spans="1:4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row>
    <row r="281" spans="1:4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row>
    <row r="282" spans="1:4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row>
    <row r="283" spans="1:4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row>
    <row r="284" spans="1:4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row>
    <row r="285" spans="1:4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row>
    <row r="286" spans="1:4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row>
    <row r="287" spans="1:4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row>
    <row r="288" spans="1:4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row>
    <row r="289" spans="1:4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row>
    <row r="290" spans="1:4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row>
    <row r="291" spans="1:4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row>
    <row r="292" spans="1:4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row>
    <row r="293" spans="1:4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row>
    <row r="294" spans="1:4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row>
    <row r="295" spans="1:4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row>
    <row r="296" spans="1:4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row>
    <row r="297" spans="1:4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row>
    <row r="298" spans="1:4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row>
    <row r="299" spans="1:4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row>
    <row r="300" spans="1:4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row>
    <row r="301" spans="1:4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row>
    <row r="302" spans="1:4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row>
    <row r="303" spans="1:4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row>
    <row r="304" spans="1:4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row>
    <row r="305" spans="1:4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row>
    <row r="306" spans="1:4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row>
    <row r="307" spans="1:4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row>
    <row r="308" spans="1:4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row>
    <row r="309" spans="1:4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row>
    <row r="310" spans="1:4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row>
    <row r="311" spans="1:4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row>
    <row r="312" spans="1:4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row>
    <row r="313" spans="1:4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row>
    <row r="314" spans="1:4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row>
    <row r="315" spans="1:4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row>
    <row r="316" spans="1:4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row>
    <row r="317" spans="1:4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row>
    <row r="318" spans="1:4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row>
    <row r="319" spans="1:4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row>
    <row r="320" spans="1:4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row>
    <row r="321" spans="1:4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row>
    <row r="322" spans="1:4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row>
    <row r="323" spans="1:4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row>
    <row r="324" spans="1:4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row>
    <row r="325" spans="1:4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row>
    <row r="326" spans="1:4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row>
    <row r="327" spans="1:4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row>
    <row r="328" spans="1:4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row>
    <row r="329" spans="1:4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row>
    <row r="330" spans="1:4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row>
    <row r="331" spans="1:4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row>
    <row r="332" spans="1:4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row>
    <row r="333" spans="1:4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row>
    <row r="334" spans="1:4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row>
    <row r="335" spans="1:4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row>
    <row r="336" spans="1:4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row>
    <row r="337" spans="1:4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row>
    <row r="338" spans="1:4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row>
    <row r="339" spans="1:4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row>
    <row r="340" spans="1:4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row>
    <row r="341" spans="1:4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row>
    <row r="342" spans="1:4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row>
    <row r="343" spans="1:4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row>
    <row r="344" spans="1:4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row>
    <row r="345" spans="1:4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row>
    <row r="346" spans="1:4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row>
    <row r="347" spans="1:4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row>
    <row r="348" spans="1:4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row>
    <row r="349" spans="1:4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row>
    <row r="350" spans="1:4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row>
    <row r="351" spans="1:4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row>
    <row r="352" spans="1:4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row>
    <row r="353" spans="1:4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row>
    <row r="354" spans="1:4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row>
    <row r="355" spans="1:4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row>
    <row r="356" spans="1:4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row>
    <row r="357" spans="1:4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row>
    <row r="358" spans="1:4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row>
    <row r="359" spans="1:4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row>
    <row r="360" spans="1:4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row>
    <row r="361" spans="1:4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row>
    <row r="362" spans="1:4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row>
    <row r="363" spans="1:4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row>
    <row r="364" spans="1:4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row>
    <row r="365" spans="1:4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row>
    <row r="366" spans="1:4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row>
    <row r="367" spans="1:4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row>
    <row r="368" spans="1:4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row>
    <row r="369" spans="1:4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row>
    <row r="370" spans="1:4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row>
    <row r="371" spans="1:4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row>
    <row r="372" spans="1:4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row>
    <row r="373" spans="1:4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row>
    <row r="374" spans="1:4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row>
    <row r="375" spans="1:4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row>
    <row r="376" spans="1:4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row>
    <row r="377" spans="1:4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row>
    <row r="378" spans="1:4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row>
    <row r="379" spans="1:4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row>
    <row r="380" spans="1:4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row>
    <row r="381" spans="1:4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row>
    <row r="382" spans="1:4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row>
    <row r="383" spans="1:4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row>
    <row r="384" spans="1:4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row>
    <row r="385" spans="1:4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row>
    <row r="386" spans="1:4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row>
    <row r="387" spans="1:4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row>
    <row r="388" spans="1:4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row>
    <row r="389" spans="1:4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row>
    <row r="390" spans="1:4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row>
    <row r="391" spans="1:4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row>
    <row r="392" spans="1:4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row>
    <row r="393" spans="1:4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row>
    <row r="394" spans="1:4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row>
    <row r="395" spans="1:4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row>
    <row r="396" spans="1:4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row>
    <row r="397" spans="1:4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row>
    <row r="398" spans="1:4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row>
    <row r="399" spans="1:4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row>
    <row r="400" spans="1:4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row>
    <row r="401" spans="1:4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row>
    <row r="402" spans="1:4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row>
    <row r="403" spans="1:4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row>
    <row r="404" spans="1:4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row>
    <row r="405" spans="1:4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row>
    <row r="406" spans="1:4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row>
    <row r="407" spans="1:4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row>
    <row r="408" spans="1:4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row>
    <row r="409" spans="1:4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row>
    <row r="410" spans="1:4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row>
    <row r="411" spans="1:4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row>
    <row r="412" spans="1:4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row>
    <row r="413" spans="1:4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row>
    <row r="414" spans="1:4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row>
    <row r="415" spans="1:4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row>
    <row r="416" spans="1:4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row>
    <row r="417" spans="1:4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row>
    <row r="418" spans="1:4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row>
    <row r="419" spans="1:4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row>
    <row r="420" spans="1:4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row>
    <row r="421" spans="1:4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row>
    <row r="422" spans="1:4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row>
    <row r="423" spans="1:4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row>
    <row r="424" spans="1:4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row>
    <row r="425" spans="1:4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row>
    <row r="426" spans="1:4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row>
    <row r="427" spans="1:4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row>
    <row r="428" spans="1:4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row>
    <row r="429" spans="1:4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row>
    <row r="430" spans="1:4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row>
    <row r="431" spans="1:4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row>
    <row r="432" spans="1:4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row>
    <row r="433" spans="1:4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row>
    <row r="434" spans="1:4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row>
    <row r="435" spans="1:4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row>
    <row r="436" spans="1:4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row>
    <row r="437" spans="1:4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row>
    <row r="438" spans="1:4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row>
    <row r="439" spans="1:4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row>
    <row r="440" spans="1:4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row>
    <row r="441" spans="1:4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row>
    <row r="442" spans="1:4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row>
    <row r="443" spans="1:4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row>
    <row r="444" spans="1:4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row>
    <row r="445" spans="1:4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row>
    <row r="446" spans="1:4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row>
    <row r="447" spans="1:4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row>
    <row r="448" spans="1:4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row>
    <row r="449" spans="1:4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row>
    <row r="450" spans="1:4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row>
    <row r="451" spans="1:4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row>
    <row r="452" spans="1:4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row>
    <row r="453" spans="1:4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row>
    <row r="454" spans="1:4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row>
    <row r="455" spans="1:4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row>
    <row r="456" spans="1:4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row>
    <row r="457" spans="1:4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row>
    <row r="458" spans="1:4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row>
    <row r="459" spans="1:4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row>
    <row r="460" spans="1:4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row>
    <row r="461" spans="1:4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row>
    <row r="462" spans="1:4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row>
    <row r="463" spans="1:4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row>
    <row r="464" spans="1:4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row>
    <row r="465" spans="1:4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row>
    <row r="466" spans="1:4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row>
    <row r="467" spans="1:4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row>
    <row r="468" spans="1:4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row>
    <row r="469" spans="1:4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row>
    <row r="470" spans="1:4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row>
    <row r="471" spans="1:4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row>
    <row r="472" spans="1:4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row>
    <row r="473" spans="1:4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row>
    <row r="474" spans="1:4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row>
    <row r="475" spans="1:4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row>
    <row r="476" spans="1:4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row>
    <row r="477" spans="1:4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row>
    <row r="478" spans="1:4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row>
    <row r="479" spans="1:4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row>
    <row r="480" spans="1:4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row>
    <row r="481" spans="1:4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row>
    <row r="482" spans="1:4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row>
    <row r="483" spans="1:4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row>
    <row r="484" spans="1:4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row>
    <row r="485" spans="1:4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row>
    <row r="486" spans="1:4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row>
    <row r="487" spans="1:4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row>
    <row r="488" spans="1:4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row>
    <row r="489" spans="1:4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row>
    <row r="490" spans="1:4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row>
    <row r="491" spans="1:4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row>
    <row r="492" spans="1:4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row>
    <row r="493" spans="1:4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row>
    <row r="494" spans="1:4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row>
    <row r="495" spans="1:4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row>
    <row r="496" spans="1:4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row>
    <row r="497" spans="1:4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row>
    <row r="498" spans="1:4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row>
    <row r="499" spans="1:4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row>
    <row r="500" spans="1:4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row>
    <row r="501" spans="1:4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row>
    <row r="502" spans="1:4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row>
    <row r="503" spans="1:46" x14ac:dyDescent="0.25">
      <c r="A503" s="1"/>
      <c r="B503" s="1"/>
      <c r="C503" s="1"/>
      <c r="D503" s="1"/>
      <c r="E503" s="1"/>
      <c r="F503" s="1"/>
      <c r="G503" s="1"/>
      <c r="H503" s="1"/>
      <c r="I503" s="1"/>
      <c r="J503" s="1"/>
      <c r="K503" s="1"/>
      <c r="L503" s="1"/>
      <c r="M503" s="1"/>
      <c r="N503" s="1"/>
      <c r="O503" s="1"/>
      <c r="P503" s="1"/>
      <c r="Q503" s="1"/>
      <c r="R503" s="1"/>
      <c r="S503" s="1"/>
      <c r="T503" s="1"/>
      <c r="U503" s="1"/>
    </row>
    <row r="504" spans="1:46" x14ac:dyDescent="0.25">
      <c r="A504" s="1"/>
      <c r="B504" s="1"/>
      <c r="C504" s="1"/>
      <c r="D504" s="1"/>
      <c r="E504" s="1"/>
      <c r="F504" s="1"/>
      <c r="G504" s="1"/>
      <c r="H504" s="1"/>
      <c r="I504" s="1"/>
      <c r="J504" s="1"/>
      <c r="K504" s="1"/>
      <c r="L504" s="1"/>
      <c r="M504" s="1"/>
      <c r="N504" s="1"/>
      <c r="O504" s="1"/>
      <c r="P504" s="1"/>
      <c r="Q504" s="1"/>
      <c r="R504" s="1"/>
      <c r="S504" s="1"/>
      <c r="T504" s="1"/>
      <c r="U504" s="1"/>
    </row>
    <row r="505" spans="1:46" x14ac:dyDescent="0.25">
      <c r="A505" s="1"/>
      <c r="B505" s="1"/>
      <c r="C505" s="1"/>
      <c r="D505" s="1"/>
      <c r="E505" s="1"/>
      <c r="F505" s="1"/>
      <c r="G505" s="1"/>
      <c r="H505" s="1"/>
      <c r="I505" s="1"/>
      <c r="J505" s="1"/>
      <c r="K505" s="1"/>
      <c r="L505" s="1"/>
      <c r="M505" s="1"/>
      <c r="N505" s="1"/>
      <c r="O505" s="1"/>
      <c r="P505" s="1"/>
      <c r="Q505" s="1"/>
      <c r="R505" s="1"/>
      <c r="S505" s="1"/>
      <c r="T505" s="1"/>
      <c r="U505" s="1"/>
    </row>
    <row r="506" spans="1:46" x14ac:dyDescent="0.25">
      <c r="A506" s="1"/>
      <c r="B506" s="1"/>
      <c r="C506" s="1"/>
      <c r="D506" s="1"/>
      <c r="E506" s="1"/>
      <c r="F506" s="1"/>
      <c r="G506" s="1"/>
      <c r="H506" s="1"/>
      <c r="I506" s="1"/>
      <c r="J506" s="1"/>
      <c r="K506" s="1"/>
      <c r="L506" s="1"/>
      <c r="M506" s="1"/>
      <c r="N506" s="1"/>
      <c r="O506" s="1"/>
      <c r="P506" s="1"/>
      <c r="Q506" s="1"/>
      <c r="R506" s="1"/>
      <c r="S506" s="1"/>
      <c r="T506" s="1"/>
      <c r="U506" s="1"/>
    </row>
    <row r="507" spans="1:46" x14ac:dyDescent="0.25">
      <c r="A507" s="1"/>
      <c r="B507" s="1"/>
      <c r="C507" s="1"/>
      <c r="D507" s="1"/>
      <c r="E507" s="1"/>
      <c r="F507" s="1"/>
      <c r="G507" s="1"/>
      <c r="H507" s="1"/>
      <c r="I507" s="1"/>
      <c r="J507" s="1"/>
      <c r="K507" s="1"/>
      <c r="L507" s="1"/>
      <c r="M507" s="1"/>
      <c r="N507" s="1"/>
      <c r="O507" s="1"/>
      <c r="P507" s="1"/>
      <c r="Q507" s="1"/>
      <c r="R507" s="1"/>
      <c r="S507" s="1"/>
      <c r="T507" s="1"/>
      <c r="U507" s="1"/>
    </row>
    <row r="508" spans="1:46" x14ac:dyDescent="0.25">
      <c r="A508" s="1"/>
      <c r="B508" s="1"/>
      <c r="C508" s="1"/>
      <c r="D508" s="1"/>
      <c r="E508" s="1"/>
      <c r="F508" s="1"/>
      <c r="G508" s="1"/>
      <c r="H508" s="1"/>
      <c r="I508" s="1"/>
      <c r="J508" s="1"/>
      <c r="K508" s="1"/>
      <c r="L508" s="1"/>
      <c r="M508" s="1"/>
      <c r="N508" s="1"/>
      <c r="O508" s="1"/>
      <c r="P508" s="1"/>
      <c r="Q508" s="1"/>
      <c r="R508" s="1"/>
      <c r="S508" s="1"/>
      <c r="T508" s="1"/>
      <c r="U508" s="1"/>
    </row>
    <row r="509" spans="1:46" x14ac:dyDescent="0.25">
      <c r="A509" s="1"/>
      <c r="B509" s="1"/>
      <c r="C509" s="1"/>
      <c r="D509" s="1"/>
      <c r="E509" s="1"/>
      <c r="F509" s="1"/>
      <c r="G509" s="1"/>
      <c r="H509" s="1"/>
      <c r="I509" s="1"/>
      <c r="J509" s="1"/>
      <c r="K509" s="1"/>
      <c r="L509" s="1"/>
      <c r="M509" s="1"/>
      <c r="N509" s="1"/>
      <c r="O509" s="1"/>
      <c r="P509" s="1"/>
      <c r="Q509" s="1"/>
      <c r="R509" s="1"/>
      <c r="S509" s="1"/>
      <c r="T509" s="1"/>
      <c r="U509" s="1"/>
    </row>
    <row r="510" spans="1:46" x14ac:dyDescent="0.25">
      <c r="A510" s="1"/>
      <c r="B510" s="1"/>
      <c r="C510" s="1"/>
      <c r="D510" s="1"/>
      <c r="E510" s="1"/>
      <c r="F510" s="1"/>
      <c r="G510" s="1"/>
      <c r="H510" s="1"/>
      <c r="I510" s="1"/>
      <c r="J510" s="1"/>
      <c r="K510" s="1"/>
      <c r="L510" s="1"/>
      <c r="M510" s="1"/>
      <c r="N510" s="1"/>
      <c r="O510" s="1"/>
      <c r="P510" s="1"/>
      <c r="Q510" s="1"/>
      <c r="R510" s="1"/>
      <c r="S510" s="1"/>
      <c r="T510" s="1"/>
      <c r="U510" s="1"/>
    </row>
    <row r="511" spans="1:46" x14ac:dyDescent="0.25">
      <c r="A511" s="1"/>
      <c r="B511" s="1"/>
      <c r="C511" s="1"/>
      <c r="D511" s="1"/>
      <c r="E511" s="1"/>
      <c r="F511" s="1"/>
      <c r="G511" s="1"/>
      <c r="H511" s="1"/>
      <c r="I511" s="1"/>
      <c r="J511" s="1"/>
      <c r="K511" s="1"/>
      <c r="L511" s="1"/>
      <c r="M511" s="1"/>
      <c r="N511" s="1"/>
      <c r="O511" s="1"/>
      <c r="P511" s="1"/>
      <c r="Q511" s="1"/>
      <c r="R511" s="1"/>
      <c r="S511" s="1"/>
      <c r="T511" s="1"/>
      <c r="U511" s="1"/>
    </row>
    <row r="512" spans="1:46" x14ac:dyDescent="0.25">
      <c r="A512" s="1"/>
      <c r="B512" s="1"/>
      <c r="C512" s="1"/>
      <c r="D512" s="1"/>
      <c r="E512" s="1"/>
      <c r="F512" s="1"/>
      <c r="G512" s="1"/>
      <c r="H512" s="1"/>
      <c r="I512" s="1"/>
      <c r="J512" s="1"/>
      <c r="K512" s="1"/>
      <c r="L512" s="1"/>
      <c r="M512" s="1"/>
      <c r="N512" s="1"/>
      <c r="O512" s="1"/>
      <c r="P512" s="1"/>
      <c r="Q512" s="1"/>
      <c r="R512" s="1"/>
      <c r="S512" s="1"/>
      <c r="T512" s="1"/>
      <c r="U512" s="1"/>
    </row>
    <row r="513" spans="1:21" x14ac:dyDescent="0.25">
      <c r="A513" s="1"/>
      <c r="B513" s="1"/>
      <c r="C513" s="1"/>
      <c r="D513" s="1"/>
      <c r="E513" s="1"/>
      <c r="F513" s="1"/>
      <c r="G513" s="1"/>
      <c r="H513" s="1"/>
      <c r="I513" s="1"/>
      <c r="J513" s="1"/>
      <c r="K513" s="1"/>
      <c r="L513" s="1"/>
      <c r="M513" s="1"/>
      <c r="N513" s="1"/>
      <c r="O513" s="1"/>
      <c r="P513" s="1"/>
      <c r="Q513" s="1"/>
      <c r="R513" s="1"/>
      <c r="S513" s="1"/>
      <c r="T513" s="1"/>
      <c r="U513" s="1"/>
    </row>
    <row r="514" spans="1:21" x14ac:dyDescent="0.25">
      <c r="A514" s="1"/>
      <c r="B514" s="1"/>
      <c r="C514" s="1"/>
      <c r="D514" s="1"/>
      <c r="E514" s="1"/>
      <c r="F514" s="1"/>
      <c r="G514" s="1"/>
      <c r="H514" s="1"/>
      <c r="I514" s="1"/>
      <c r="J514" s="1"/>
      <c r="K514" s="1"/>
      <c r="L514" s="1"/>
      <c r="M514" s="1"/>
      <c r="N514" s="1"/>
      <c r="O514" s="1"/>
      <c r="P514" s="1"/>
      <c r="Q514" s="1"/>
      <c r="R514" s="1"/>
      <c r="S514" s="1"/>
      <c r="T514" s="1"/>
      <c r="U514" s="1"/>
    </row>
    <row r="515" spans="1:21" x14ac:dyDescent="0.25">
      <c r="A515" s="1"/>
      <c r="B515" s="1"/>
      <c r="C515" s="1"/>
      <c r="D515" s="1"/>
      <c r="E515" s="1"/>
      <c r="F515" s="1"/>
      <c r="G515" s="1"/>
      <c r="H515" s="1"/>
      <c r="I515" s="1"/>
      <c r="J515" s="1"/>
      <c r="K515" s="1"/>
      <c r="L515" s="1"/>
      <c r="M515" s="1"/>
      <c r="N515" s="1"/>
      <c r="O515" s="1"/>
      <c r="P515" s="1"/>
      <c r="Q515" s="1"/>
      <c r="R515" s="1"/>
      <c r="S515" s="1"/>
      <c r="T515" s="1"/>
      <c r="U515" s="1"/>
    </row>
    <row r="516" spans="1:21" x14ac:dyDescent="0.25">
      <c r="A516" s="1"/>
      <c r="B516" s="1"/>
      <c r="C516" s="1"/>
      <c r="D516" s="1"/>
      <c r="E516" s="1"/>
      <c r="F516" s="1"/>
      <c r="G516" s="1"/>
      <c r="H516" s="1"/>
      <c r="I516" s="1"/>
      <c r="J516" s="1"/>
      <c r="K516" s="1"/>
      <c r="L516" s="1"/>
      <c r="M516" s="1"/>
      <c r="N516" s="1"/>
      <c r="O516" s="1"/>
      <c r="P516" s="1"/>
      <c r="Q516" s="1"/>
      <c r="R516" s="1"/>
      <c r="S516" s="1"/>
      <c r="T516" s="1"/>
      <c r="U516" s="1"/>
    </row>
    <row r="517" spans="1:21" x14ac:dyDescent="0.25">
      <c r="A517" s="1"/>
      <c r="B517" s="1"/>
      <c r="C517" s="1"/>
      <c r="D517" s="1"/>
      <c r="E517" s="1"/>
      <c r="F517" s="1"/>
      <c r="G517" s="1"/>
      <c r="H517" s="1"/>
      <c r="I517" s="1"/>
      <c r="J517" s="1"/>
      <c r="K517" s="1"/>
      <c r="L517" s="1"/>
      <c r="M517" s="1"/>
      <c r="N517" s="1"/>
      <c r="O517" s="1"/>
      <c r="P517" s="1"/>
      <c r="Q517" s="1"/>
      <c r="R517" s="1"/>
      <c r="S517" s="1"/>
      <c r="T517" s="1"/>
      <c r="U517" s="1"/>
    </row>
    <row r="518" spans="1:21" x14ac:dyDescent="0.25">
      <c r="A518" s="1"/>
      <c r="B518" s="1"/>
      <c r="C518" s="1"/>
      <c r="D518" s="1"/>
      <c r="E518" s="1"/>
      <c r="F518" s="1"/>
      <c r="G518" s="1"/>
      <c r="H518" s="1"/>
      <c r="I518" s="1"/>
      <c r="J518" s="1"/>
      <c r="K518" s="1"/>
      <c r="L518" s="1"/>
      <c r="M518" s="1"/>
      <c r="N518" s="1"/>
      <c r="O518" s="1"/>
      <c r="P518" s="1"/>
      <c r="Q518" s="1"/>
      <c r="R518" s="1"/>
      <c r="S518" s="1"/>
      <c r="T518" s="1"/>
      <c r="U518" s="1"/>
    </row>
    <row r="519" spans="1:21" x14ac:dyDescent="0.25">
      <c r="A519" s="1"/>
      <c r="B519" s="1"/>
      <c r="C519" s="1"/>
      <c r="D519" s="1"/>
      <c r="E519" s="1"/>
      <c r="F519" s="1"/>
      <c r="G519" s="1"/>
      <c r="H519" s="1"/>
      <c r="I519" s="1"/>
      <c r="J519" s="1"/>
      <c r="K519" s="1"/>
      <c r="L519" s="1"/>
      <c r="M519" s="1"/>
      <c r="N519" s="1"/>
      <c r="O519" s="1"/>
      <c r="P519" s="1"/>
      <c r="Q519" s="1"/>
      <c r="R519" s="1"/>
      <c r="S519" s="1"/>
      <c r="T519" s="1"/>
      <c r="U519" s="1"/>
    </row>
    <row r="520" spans="1:21" x14ac:dyDescent="0.25">
      <c r="A520" s="1"/>
      <c r="B520" s="1"/>
      <c r="C520" s="1"/>
      <c r="D520" s="1"/>
      <c r="E520" s="1"/>
      <c r="F520" s="1"/>
      <c r="G520" s="1"/>
      <c r="H520" s="1"/>
      <c r="I520" s="1"/>
      <c r="J520" s="1"/>
      <c r="K520" s="1"/>
      <c r="L520" s="1"/>
      <c r="M520" s="1"/>
      <c r="N520" s="1"/>
      <c r="O520" s="1"/>
      <c r="P520" s="1"/>
      <c r="Q520" s="1"/>
      <c r="R520" s="1"/>
      <c r="S520" s="1"/>
      <c r="T520" s="1"/>
      <c r="U520" s="1"/>
    </row>
    <row r="521" spans="1:21" x14ac:dyDescent="0.25">
      <c r="A521" s="1"/>
      <c r="B521" s="1"/>
      <c r="C521" s="1"/>
      <c r="D521" s="1"/>
      <c r="E521" s="1"/>
      <c r="F521" s="1"/>
      <c r="G521" s="1"/>
      <c r="H521" s="1"/>
      <c r="I521" s="1"/>
      <c r="J521" s="1"/>
      <c r="K521" s="1"/>
      <c r="L521" s="1"/>
      <c r="M521" s="1"/>
      <c r="N521" s="1"/>
      <c r="O521" s="1"/>
      <c r="P521" s="1"/>
      <c r="Q521" s="1"/>
      <c r="R521" s="1"/>
      <c r="S521" s="1"/>
      <c r="T521" s="1"/>
      <c r="U521" s="1"/>
    </row>
    <row r="522" spans="1:21" x14ac:dyDescent="0.25">
      <c r="A522" s="1"/>
      <c r="B522" s="1"/>
      <c r="C522" s="1"/>
      <c r="D522" s="1"/>
      <c r="E522" s="1"/>
      <c r="F522" s="1"/>
      <c r="G522" s="1"/>
      <c r="H522" s="1"/>
      <c r="I522" s="1"/>
      <c r="J522" s="1"/>
      <c r="K522" s="1"/>
      <c r="L522" s="1"/>
      <c r="M522" s="1"/>
      <c r="N522" s="1"/>
      <c r="O522" s="1"/>
      <c r="P522" s="1"/>
      <c r="Q522" s="1"/>
      <c r="R522" s="1"/>
      <c r="S522" s="1"/>
      <c r="T522" s="1"/>
      <c r="U522" s="1"/>
    </row>
    <row r="523" spans="1:21" x14ac:dyDescent="0.25">
      <c r="A523" s="1"/>
      <c r="B523" s="1"/>
      <c r="C523" s="1"/>
      <c r="D523" s="1"/>
      <c r="E523" s="1"/>
      <c r="F523" s="1"/>
      <c r="G523" s="1"/>
      <c r="H523" s="1"/>
      <c r="I523" s="1"/>
      <c r="J523" s="1"/>
      <c r="K523" s="1"/>
      <c r="L523" s="1"/>
      <c r="M523" s="1"/>
      <c r="N523" s="1"/>
      <c r="O523" s="1"/>
      <c r="P523" s="1"/>
      <c r="Q523" s="1"/>
      <c r="R523" s="1"/>
      <c r="S523" s="1"/>
      <c r="T523" s="1"/>
      <c r="U523" s="1"/>
    </row>
    <row r="524" spans="1:21" x14ac:dyDescent="0.25">
      <c r="A524" s="1"/>
      <c r="B524" s="1"/>
      <c r="C524" s="1"/>
      <c r="D524" s="1"/>
      <c r="E524" s="1"/>
      <c r="F524" s="1"/>
      <c r="G524" s="1"/>
      <c r="H524" s="1"/>
      <c r="I524" s="1"/>
      <c r="J524" s="1"/>
      <c r="K524" s="1"/>
      <c r="L524" s="1"/>
      <c r="M524" s="1"/>
      <c r="N524" s="1"/>
      <c r="O524" s="1"/>
      <c r="P524" s="1"/>
      <c r="Q524" s="1"/>
      <c r="R524" s="1"/>
      <c r="S524" s="1"/>
      <c r="T524" s="1"/>
      <c r="U524" s="1"/>
    </row>
    <row r="525" spans="1:21" x14ac:dyDescent="0.25">
      <c r="A525" s="1"/>
      <c r="B525" s="1"/>
      <c r="C525" s="1"/>
      <c r="D525" s="1"/>
      <c r="E525" s="1"/>
      <c r="F525" s="1"/>
      <c r="G525" s="1"/>
      <c r="H525" s="1"/>
      <c r="I525" s="1"/>
      <c r="J525" s="1"/>
      <c r="K525" s="1"/>
      <c r="L525" s="1"/>
      <c r="M525" s="1"/>
      <c r="N525" s="1"/>
      <c r="O525" s="1"/>
      <c r="P525" s="1"/>
      <c r="Q525" s="1"/>
      <c r="R525" s="1"/>
      <c r="S525" s="1"/>
      <c r="T525" s="1"/>
      <c r="U525" s="1"/>
    </row>
    <row r="526" spans="1:21" x14ac:dyDescent="0.25">
      <c r="A526" s="1"/>
      <c r="B526" s="1"/>
      <c r="C526" s="1"/>
      <c r="D526" s="1"/>
      <c r="E526" s="1"/>
      <c r="F526" s="1"/>
      <c r="G526" s="1"/>
      <c r="H526" s="1"/>
      <c r="I526" s="1"/>
      <c r="J526" s="1"/>
      <c r="K526" s="1"/>
      <c r="L526" s="1"/>
      <c r="M526" s="1"/>
      <c r="N526" s="1"/>
      <c r="O526" s="1"/>
      <c r="P526" s="1"/>
      <c r="Q526" s="1"/>
      <c r="R526" s="1"/>
      <c r="S526" s="1"/>
      <c r="T526" s="1"/>
      <c r="U526" s="1"/>
    </row>
    <row r="527" spans="1:21" x14ac:dyDescent="0.25">
      <c r="A527" s="1"/>
      <c r="B527" s="1"/>
      <c r="C527" s="1"/>
      <c r="D527" s="1"/>
      <c r="E527" s="1"/>
      <c r="F527" s="1"/>
      <c r="G527" s="1"/>
      <c r="H527" s="1"/>
      <c r="I527" s="1"/>
      <c r="J527" s="1"/>
      <c r="K527" s="1"/>
      <c r="L527" s="1"/>
      <c r="M527" s="1"/>
      <c r="N527" s="1"/>
      <c r="O527" s="1"/>
      <c r="P527" s="1"/>
      <c r="Q527" s="1"/>
      <c r="R527" s="1"/>
      <c r="S527" s="1"/>
      <c r="T527" s="1"/>
      <c r="U527" s="1"/>
    </row>
    <row r="528" spans="1:21" x14ac:dyDescent="0.25">
      <c r="A528" s="1"/>
      <c r="B528" s="1"/>
      <c r="C528" s="1"/>
      <c r="D528" s="1"/>
      <c r="E528" s="1"/>
      <c r="F528" s="1"/>
      <c r="G528" s="1"/>
      <c r="H528" s="1"/>
      <c r="I528" s="1"/>
      <c r="J528" s="1"/>
      <c r="K528" s="1"/>
      <c r="L528" s="1"/>
      <c r="M528" s="1"/>
      <c r="N528" s="1"/>
      <c r="O528" s="1"/>
      <c r="P528" s="1"/>
      <c r="Q528" s="1"/>
      <c r="R528" s="1"/>
      <c r="S528" s="1"/>
      <c r="T528" s="1"/>
      <c r="U528" s="1"/>
    </row>
    <row r="529" spans="1:21" x14ac:dyDescent="0.25">
      <c r="A529" s="1"/>
      <c r="B529" s="1"/>
      <c r="C529" s="1"/>
      <c r="D529" s="1"/>
      <c r="E529" s="1"/>
      <c r="F529" s="1"/>
      <c r="G529" s="1"/>
      <c r="H529" s="1"/>
      <c r="I529" s="1"/>
      <c r="J529" s="1"/>
      <c r="K529" s="1"/>
      <c r="L529" s="1"/>
      <c r="M529" s="1"/>
      <c r="N529" s="1"/>
      <c r="O529" s="1"/>
      <c r="P529" s="1"/>
      <c r="Q529" s="1"/>
      <c r="R529" s="1"/>
      <c r="S529" s="1"/>
      <c r="T529" s="1"/>
      <c r="U529" s="1"/>
    </row>
    <row r="530" spans="1:21" x14ac:dyDescent="0.25">
      <c r="A530" s="1"/>
      <c r="B530" s="1"/>
      <c r="C530" s="1"/>
      <c r="D530" s="1"/>
      <c r="E530" s="1"/>
      <c r="F530" s="1"/>
      <c r="G530" s="1"/>
      <c r="H530" s="1"/>
      <c r="I530" s="1"/>
      <c r="J530" s="1"/>
      <c r="K530" s="1"/>
      <c r="L530" s="1"/>
      <c r="M530" s="1"/>
      <c r="N530" s="1"/>
      <c r="O530" s="1"/>
      <c r="P530" s="1"/>
      <c r="Q530" s="1"/>
      <c r="R530" s="1"/>
      <c r="S530" s="1"/>
      <c r="T530" s="1"/>
      <c r="U530" s="1"/>
    </row>
    <row r="531" spans="1:21" x14ac:dyDescent="0.25">
      <c r="A531" s="1"/>
      <c r="B531" s="1"/>
      <c r="C531" s="1"/>
      <c r="D531" s="1"/>
      <c r="E531" s="1"/>
      <c r="F531" s="1"/>
      <c r="G531" s="1"/>
      <c r="H531" s="1"/>
      <c r="I531" s="1"/>
      <c r="J531" s="1"/>
      <c r="K531" s="1"/>
      <c r="L531" s="1"/>
      <c r="M531" s="1"/>
      <c r="N531" s="1"/>
      <c r="O531" s="1"/>
      <c r="P531" s="1"/>
      <c r="Q531" s="1"/>
      <c r="R531" s="1"/>
      <c r="S531" s="1"/>
      <c r="T531" s="1"/>
      <c r="U531" s="1"/>
    </row>
    <row r="532" spans="1:21" x14ac:dyDescent="0.25">
      <c r="A532" s="1"/>
      <c r="B532" s="1"/>
      <c r="C532" s="1"/>
      <c r="D532" s="1"/>
      <c r="E532" s="1"/>
      <c r="F532" s="1"/>
      <c r="G532" s="1"/>
      <c r="H532" s="1"/>
      <c r="I532" s="1"/>
      <c r="J532" s="1"/>
      <c r="K532" s="1"/>
      <c r="L532" s="1"/>
      <c r="M532" s="1"/>
      <c r="N532" s="1"/>
      <c r="O532" s="1"/>
      <c r="P532" s="1"/>
      <c r="Q532" s="1"/>
      <c r="R532" s="1"/>
      <c r="S532" s="1"/>
      <c r="T532" s="1"/>
      <c r="U532" s="1"/>
    </row>
    <row r="533" spans="1:21" x14ac:dyDescent="0.25">
      <c r="A533" s="1"/>
      <c r="B533" s="1"/>
      <c r="C533" s="1"/>
      <c r="D533" s="1"/>
      <c r="E533" s="1"/>
      <c r="F533" s="1"/>
      <c r="G533" s="1"/>
      <c r="H533" s="1"/>
      <c r="I533" s="1"/>
      <c r="J533" s="1"/>
      <c r="K533" s="1"/>
      <c r="L533" s="1"/>
      <c r="M533" s="1"/>
      <c r="N533" s="1"/>
      <c r="O533" s="1"/>
      <c r="P533" s="1"/>
      <c r="Q533" s="1"/>
      <c r="R533" s="1"/>
      <c r="S533" s="1"/>
      <c r="T533" s="1"/>
      <c r="U533" s="1"/>
    </row>
    <row r="534" spans="1:21" x14ac:dyDescent="0.25">
      <c r="A534" s="1"/>
      <c r="B534" s="1"/>
      <c r="C534" s="1"/>
      <c r="D534" s="1"/>
      <c r="E534" s="1"/>
      <c r="F534" s="1"/>
      <c r="G534" s="1"/>
      <c r="H534" s="1"/>
      <c r="I534" s="1"/>
      <c r="J534" s="1"/>
      <c r="K534" s="1"/>
      <c r="L534" s="1"/>
      <c r="M534" s="1"/>
      <c r="N534" s="1"/>
      <c r="O534" s="1"/>
      <c r="P534" s="1"/>
      <c r="Q534" s="1"/>
      <c r="R534" s="1"/>
      <c r="S534" s="1"/>
      <c r="T534" s="1"/>
      <c r="U534" s="1"/>
    </row>
    <row r="535" spans="1:21" x14ac:dyDescent="0.25">
      <c r="A535" s="1"/>
      <c r="B535" s="1"/>
      <c r="C535" s="1"/>
      <c r="D535" s="1"/>
      <c r="E535" s="1"/>
      <c r="F535" s="1"/>
      <c r="G535" s="1"/>
      <c r="H535" s="1"/>
      <c r="I535" s="1"/>
      <c r="J535" s="1"/>
      <c r="K535" s="1"/>
      <c r="L535" s="1"/>
      <c r="M535" s="1"/>
      <c r="N535" s="1"/>
      <c r="O535" s="1"/>
      <c r="P535" s="1"/>
      <c r="Q535" s="1"/>
      <c r="R535" s="1"/>
      <c r="S535" s="1"/>
      <c r="T535" s="1"/>
      <c r="U535" s="1"/>
    </row>
    <row r="536" spans="1:21" x14ac:dyDescent="0.25">
      <c r="A536" s="1"/>
      <c r="B536" s="1"/>
      <c r="C536" s="1"/>
      <c r="D536" s="1"/>
      <c r="E536" s="1"/>
      <c r="F536" s="1"/>
      <c r="G536" s="1"/>
      <c r="H536" s="1"/>
      <c r="I536" s="1"/>
      <c r="J536" s="1"/>
      <c r="K536" s="1"/>
      <c r="L536" s="1"/>
      <c r="M536" s="1"/>
      <c r="N536" s="1"/>
      <c r="O536" s="1"/>
      <c r="P536" s="1"/>
      <c r="Q536" s="1"/>
      <c r="R536" s="1"/>
      <c r="S536" s="1"/>
      <c r="T536" s="1"/>
      <c r="U536" s="1"/>
    </row>
    <row r="537" spans="1:21" x14ac:dyDescent="0.25">
      <c r="A537" s="1"/>
      <c r="B537" s="1"/>
      <c r="C537" s="1"/>
      <c r="D537" s="1"/>
      <c r="E537" s="1"/>
      <c r="F537" s="1"/>
      <c r="G537" s="1"/>
      <c r="H537" s="1"/>
      <c r="I537" s="1"/>
      <c r="J537" s="1"/>
      <c r="K537" s="1"/>
      <c r="L537" s="1"/>
      <c r="M537" s="1"/>
      <c r="N537" s="1"/>
      <c r="O537" s="1"/>
      <c r="P537" s="1"/>
      <c r="Q537" s="1"/>
      <c r="R537" s="1"/>
      <c r="S537" s="1"/>
      <c r="T537" s="1"/>
      <c r="U537" s="1"/>
    </row>
    <row r="538" spans="1:21" x14ac:dyDescent="0.25">
      <c r="A538" s="1"/>
      <c r="B538" s="1"/>
      <c r="C538" s="1"/>
      <c r="D538" s="1"/>
      <c r="E538" s="1"/>
      <c r="F538" s="1"/>
      <c r="G538" s="1"/>
      <c r="H538" s="1"/>
      <c r="I538" s="1"/>
      <c r="J538" s="1"/>
      <c r="K538" s="1"/>
      <c r="L538" s="1"/>
      <c r="M538" s="1"/>
      <c r="N538" s="1"/>
      <c r="O538" s="1"/>
      <c r="P538" s="1"/>
      <c r="Q538" s="1"/>
      <c r="R538" s="1"/>
      <c r="S538" s="1"/>
      <c r="T538" s="1"/>
      <c r="U538" s="1"/>
    </row>
    <row r="539" spans="1:21" x14ac:dyDescent="0.25">
      <c r="A539" s="1"/>
      <c r="B539" s="1"/>
      <c r="C539" s="1"/>
      <c r="D539" s="1"/>
      <c r="E539" s="1"/>
      <c r="F539" s="1"/>
      <c r="G539" s="1"/>
      <c r="H539" s="1"/>
      <c r="I539" s="1"/>
      <c r="J539" s="1"/>
      <c r="K539" s="1"/>
      <c r="L539" s="1"/>
      <c r="M539" s="1"/>
      <c r="N539" s="1"/>
      <c r="O539" s="1"/>
      <c r="P539" s="1"/>
      <c r="Q539" s="1"/>
      <c r="R539" s="1"/>
      <c r="S539" s="1"/>
      <c r="T539" s="1"/>
      <c r="U539" s="1"/>
    </row>
    <row r="540" spans="1:21" x14ac:dyDescent="0.25">
      <c r="A540" s="1"/>
      <c r="B540" s="1"/>
      <c r="C540" s="1"/>
      <c r="D540" s="1"/>
      <c r="E540" s="1"/>
      <c r="F540" s="1"/>
      <c r="G540" s="1"/>
      <c r="H540" s="1"/>
      <c r="I540" s="1"/>
      <c r="J540" s="1"/>
      <c r="K540" s="1"/>
      <c r="L540" s="1"/>
      <c r="M540" s="1"/>
      <c r="N540" s="1"/>
      <c r="O540" s="1"/>
      <c r="P540" s="1"/>
      <c r="Q540" s="1"/>
      <c r="R540" s="1"/>
      <c r="S540" s="1"/>
      <c r="T540" s="1"/>
      <c r="U540" s="1"/>
    </row>
    <row r="541" spans="1:21" x14ac:dyDescent="0.25">
      <c r="A541" s="1"/>
      <c r="B541" s="1"/>
      <c r="C541" s="1"/>
      <c r="D541" s="1"/>
      <c r="E541" s="1"/>
      <c r="F541" s="1"/>
      <c r="G541" s="1"/>
      <c r="H541" s="1"/>
      <c r="I541" s="1"/>
      <c r="J541" s="1"/>
      <c r="K541" s="1"/>
      <c r="L541" s="1"/>
      <c r="M541" s="1"/>
      <c r="N541" s="1"/>
      <c r="O541" s="1"/>
      <c r="P541" s="1"/>
      <c r="Q541" s="1"/>
      <c r="R541" s="1"/>
      <c r="S541" s="1"/>
      <c r="T541" s="1"/>
      <c r="U541" s="1"/>
    </row>
    <row r="542" spans="1:21" x14ac:dyDescent="0.25">
      <c r="A542" s="1"/>
      <c r="B542" s="1"/>
      <c r="C542" s="1"/>
      <c r="D542" s="1"/>
      <c r="E542" s="1"/>
      <c r="F542" s="1"/>
      <c r="G542" s="1"/>
      <c r="H542" s="1"/>
      <c r="I542" s="1"/>
      <c r="J542" s="1"/>
      <c r="K542" s="1"/>
      <c r="L542" s="1"/>
      <c r="M542" s="1"/>
      <c r="N542" s="1"/>
      <c r="O542" s="1"/>
      <c r="P542" s="1"/>
      <c r="Q542" s="1"/>
      <c r="R542" s="1"/>
      <c r="S542" s="1"/>
      <c r="T542" s="1"/>
      <c r="U542" s="1"/>
    </row>
    <row r="543" spans="1:21" x14ac:dyDescent="0.25">
      <c r="A543" s="1"/>
      <c r="B543" s="1"/>
      <c r="C543" s="1"/>
      <c r="D543" s="1"/>
      <c r="E543" s="1"/>
      <c r="F543" s="1"/>
      <c r="G543" s="1"/>
      <c r="H543" s="1"/>
      <c r="I543" s="1"/>
      <c r="J543" s="1"/>
      <c r="K543" s="1"/>
      <c r="L543" s="1"/>
      <c r="M543" s="1"/>
      <c r="N543" s="1"/>
      <c r="O543" s="1"/>
      <c r="P543" s="1"/>
      <c r="Q543" s="1"/>
      <c r="R543" s="1"/>
      <c r="S543" s="1"/>
      <c r="T543" s="1"/>
      <c r="U543" s="1"/>
    </row>
    <row r="544" spans="1:21" x14ac:dyDescent="0.25">
      <c r="A544" s="1"/>
      <c r="B544" s="1"/>
      <c r="C544" s="1"/>
      <c r="D544" s="1"/>
      <c r="E544" s="1"/>
      <c r="F544" s="1"/>
      <c r="G544" s="1"/>
      <c r="H544" s="1"/>
      <c r="I544" s="1"/>
      <c r="J544" s="1"/>
      <c r="K544" s="1"/>
      <c r="L544" s="1"/>
      <c r="M544" s="1"/>
      <c r="N544" s="1"/>
      <c r="O544" s="1"/>
      <c r="P544" s="1"/>
      <c r="Q544" s="1"/>
      <c r="R544" s="1"/>
      <c r="S544" s="1"/>
      <c r="T544" s="1"/>
      <c r="U544" s="1"/>
    </row>
    <row r="545" spans="1:21" x14ac:dyDescent="0.25">
      <c r="A545" s="1"/>
      <c r="B545" s="1"/>
      <c r="C545" s="1"/>
      <c r="D545" s="1"/>
      <c r="E545" s="1"/>
      <c r="F545" s="1"/>
      <c r="G545" s="1"/>
      <c r="H545" s="1"/>
      <c r="I545" s="1"/>
      <c r="J545" s="1"/>
      <c r="K545" s="1"/>
      <c r="L545" s="1"/>
      <c r="M545" s="1"/>
      <c r="N545" s="1"/>
      <c r="O545" s="1"/>
      <c r="P545" s="1"/>
      <c r="Q545" s="1"/>
      <c r="R545" s="1"/>
      <c r="S545" s="1"/>
      <c r="T545" s="1"/>
      <c r="U545" s="1"/>
    </row>
    <row r="546" spans="1:21" x14ac:dyDescent="0.25">
      <c r="A546" s="1"/>
      <c r="B546" s="1"/>
      <c r="C546" s="1"/>
      <c r="D546" s="1"/>
      <c r="E546" s="1"/>
      <c r="F546" s="1"/>
      <c r="G546" s="1"/>
      <c r="H546" s="1"/>
      <c r="I546" s="1"/>
      <c r="J546" s="1"/>
      <c r="K546" s="1"/>
      <c r="L546" s="1"/>
      <c r="M546" s="1"/>
      <c r="N546" s="1"/>
      <c r="O546" s="1"/>
      <c r="P546" s="1"/>
      <c r="Q546" s="1"/>
      <c r="R546" s="1"/>
      <c r="S546" s="1"/>
      <c r="T546" s="1"/>
      <c r="U546" s="1"/>
    </row>
    <row r="547" spans="1:21" x14ac:dyDescent="0.25">
      <c r="A547" s="1"/>
      <c r="B547" s="1"/>
      <c r="C547" s="1"/>
      <c r="D547" s="1"/>
      <c r="E547" s="1"/>
      <c r="F547" s="1"/>
      <c r="G547" s="1"/>
      <c r="H547" s="1"/>
      <c r="I547" s="1"/>
      <c r="J547" s="1"/>
      <c r="K547" s="1"/>
      <c r="L547" s="1"/>
      <c r="M547" s="1"/>
      <c r="N547" s="1"/>
      <c r="O547" s="1"/>
      <c r="P547" s="1"/>
      <c r="Q547" s="1"/>
      <c r="R547" s="1"/>
      <c r="S547" s="1"/>
      <c r="T547" s="1"/>
      <c r="U547" s="1"/>
    </row>
    <row r="548" spans="1:21" x14ac:dyDescent="0.25">
      <c r="A548" s="1"/>
      <c r="B548" s="1"/>
      <c r="C548" s="1"/>
      <c r="D548" s="1"/>
      <c r="E548" s="1"/>
      <c r="F548" s="1"/>
      <c r="G548" s="1"/>
      <c r="H548" s="1"/>
      <c r="I548" s="1"/>
      <c r="J548" s="1"/>
      <c r="K548" s="1"/>
      <c r="L548" s="1"/>
      <c r="M548" s="1"/>
      <c r="N548" s="1"/>
      <c r="O548" s="1"/>
      <c r="P548" s="1"/>
      <c r="Q548" s="1"/>
      <c r="R548" s="1"/>
      <c r="S548" s="1"/>
      <c r="T548" s="1"/>
      <c r="U548" s="1"/>
    </row>
    <row r="549" spans="1:21" x14ac:dyDescent="0.25">
      <c r="A549" s="1"/>
      <c r="B549" s="1"/>
      <c r="C549" s="1"/>
      <c r="D549" s="1"/>
      <c r="E549" s="1"/>
      <c r="F549" s="1"/>
      <c r="G549" s="1"/>
      <c r="H549" s="1"/>
      <c r="I549" s="1"/>
      <c r="J549" s="1"/>
      <c r="K549" s="1"/>
      <c r="L549" s="1"/>
      <c r="M549" s="1"/>
      <c r="N549" s="1"/>
      <c r="O549" s="1"/>
      <c r="P549" s="1"/>
      <c r="Q549" s="1"/>
      <c r="R549" s="1"/>
      <c r="S549" s="1"/>
      <c r="T549" s="1"/>
      <c r="U549" s="1"/>
    </row>
    <row r="550" spans="1:21" x14ac:dyDescent="0.25">
      <c r="A550" s="1"/>
      <c r="B550" s="1"/>
      <c r="C550" s="1"/>
      <c r="D550" s="1"/>
      <c r="E550" s="1"/>
      <c r="F550" s="1"/>
      <c r="G550" s="1"/>
      <c r="H550" s="1"/>
      <c r="I550" s="1"/>
      <c r="J550" s="1"/>
      <c r="K550" s="1"/>
      <c r="L550" s="1"/>
      <c r="M550" s="1"/>
      <c r="N550" s="1"/>
      <c r="O550" s="1"/>
      <c r="P550" s="1"/>
      <c r="Q550" s="1"/>
      <c r="R550" s="1"/>
      <c r="S550" s="1"/>
      <c r="T550" s="1"/>
      <c r="U550" s="1"/>
    </row>
    <row r="551" spans="1:21" x14ac:dyDescent="0.25">
      <c r="A551" s="1"/>
      <c r="B551" s="1"/>
      <c r="C551" s="1"/>
      <c r="D551" s="1"/>
      <c r="E551" s="1"/>
      <c r="F551" s="1"/>
      <c r="G551" s="1"/>
      <c r="H551" s="1"/>
      <c r="I551" s="1"/>
      <c r="J551" s="1"/>
      <c r="K551" s="1"/>
      <c r="L551" s="1"/>
      <c r="M551" s="1"/>
      <c r="N551" s="1"/>
      <c r="O551" s="1"/>
      <c r="P551" s="1"/>
      <c r="Q551" s="1"/>
      <c r="R551" s="1"/>
      <c r="S551" s="1"/>
      <c r="T551" s="1"/>
      <c r="U551" s="1"/>
    </row>
    <row r="552" spans="1:21" x14ac:dyDescent="0.25">
      <c r="A552" s="1"/>
      <c r="B552" s="1"/>
      <c r="C552" s="1"/>
      <c r="D552" s="1"/>
      <c r="E552" s="1"/>
      <c r="F552" s="1"/>
      <c r="G552" s="1"/>
      <c r="H552" s="1"/>
      <c r="I552" s="1"/>
      <c r="J552" s="1"/>
      <c r="K552" s="1"/>
      <c r="L552" s="1"/>
      <c r="M552" s="1"/>
      <c r="N552" s="1"/>
      <c r="O552" s="1"/>
      <c r="P552" s="1"/>
      <c r="Q552" s="1"/>
      <c r="R552" s="1"/>
      <c r="S552" s="1"/>
      <c r="T552" s="1"/>
      <c r="U552" s="1"/>
    </row>
    <row r="553" spans="1:21" x14ac:dyDescent="0.25">
      <c r="A553" s="1"/>
      <c r="B553" s="1"/>
      <c r="C553" s="1"/>
      <c r="D553" s="1"/>
      <c r="E553" s="1"/>
      <c r="F553" s="1"/>
      <c r="G553" s="1"/>
      <c r="H553" s="1"/>
      <c r="I553" s="1"/>
      <c r="J553" s="1"/>
      <c r="K553" s="1"/>
      <c r="L553" s="1"/>
      <c r="M553" s="1"/>
      <c r="N553" s="1"/>
      <c r="O553" s="1"/>
      <c r="P553" s="1"/>
      <c r="Q553" s="1"/>
      <c r="R553" s="1"/>
      <c r="S553" s="1"/>
      <c r="T553" s="1"/>
      <c r="U553" s="1"/>
    </row>
    <row r="554" spans="1:21" x14ac:dyDescent="0.25">
      <c r="A554" s="1"/>
      <c r="B554" s="1"/>
      <c r="C554" s="1"/>
      <c r="D554" s="1"/>
      <c r="E554" s="1"/>
      <c r="F554" s="1"/>
      <c r="G554" s="1"/>
      <c r="H554" s="1"/>
      <c r="I554" s="1"/>
      <c r="J554" s="1"/>
      <c r="K554" s="1"/>
      <c r="L554" s="1"/>
      <c r="M554" s="1"/>
      <c r="N554" s="1"/>
      <c r="O554" s="1"/>
      <c r="P554" s="1"/>
      <c r="Q554" s="1"/>
      <c r="R554" s="1"/>
      <c r="S554" s="1"/>
      <c r="T554" s="1"/>
      <c r="U554" s="1"/>
    </row>
    <row r="555" spans="1:21" x14ac:dyDescent="0.25">
      <c r="A555" s="1"/>
      <c r="B555" s="1"/>
      <c r="C555" s="1"/>
      <c r="D555" s="1"/>
      <c r="E555" s="1"/>
      <c r="F555" s="1"/>
      <c r="G555" s="1"/>
      <c r="H555" s="1"/>
      <c r="I555" s="1"/>
      <c r="J555" s="1"/>
      <c r="K555" s="1"/>
      <c r="L555" s="1"/>
      <c r="M555" s="1"/>
      <c r="N555" s="1"/>
      <c r="O555" s="1"/>
      <c r="P555" s="1"/>
      <c r="Q555" s="1"/>
      <c r="R555" s="1"/>
      <c r="S555" s="1"/>
      <c r="T555" s="1"/>
      <c r="U555" s="1"/>
    </row>
    <row r="556" spans="1:21" x14ac:dyDescent="0.25">
      <c r="A556" s="1"/>
      <c r="B556" s="1"/>
      <c r="C556" s="1"/>
      <c r="D556" s="1"/>
      <c r="E556" s="1"/>
      <c r="F556" s="1"/>
      <c r="G556" s="1"/>
      <c r="H556" s="1"/>
      <c r="I556" s="1"/>
      <c r="J556" s="1"/>
      <c r="K556" s="1"/>
      <c r="L556" s="1"/>
      <c r="M556" s="1"/>
      <c r="N556" s="1"/>
      <c r="O556" s="1"/>
      <c r="P556" s="1"/>
      <c r="Q556" s="1"/>
      <c r="R556" s="1"/>
      <c r="S556" s="1"/>
      <c r="T556" s="1"/>
      <c r="U556" s="1"/>
    </row>
    <row r="557" spans="1:21" x14ac:dyDescent="0.25">
      <c r="A557" s="1"/>
      <c r="B557" s="1"/>
      <c r="C557" s="1"/>
      <c r="D557" s="1"/>
      <c r="E557" s="1"/>
      <c r="F557" s="1"/>
      <c r="G557" s="1"/>
      <c r="H557" s="1"/>
      <c r="I557" s="1"/>
      <c r="J557" s="1"/>
      <c r="K557" s="1"/>
      <c r="L557" s="1"/>
      <c r="M557" s="1"/>
      <c r="N557" s="1"/>
      <c r="O557" s="1"/>
      <c r="P557" s="1"/>
      <c r="Q557" s="1"/>
      <c r="R557" s="1"/>
      <c r="S557" s="1"/>
      <c r="T557" s="1"/>
      <c r="U557" s="1"/>
    </row>
    <row r="558" spans="1:21" x14ac:dyDescent="0.25">
      <c r="A558" s="1"/>
      <c r="B558" s="1"/>
      <c r="C558" s="1"/>
      <c r="D558" s="1"/>
      <c r="E558" s="1"/>
      <c r="F558" s="1"/>
      <c r="G558" s="1"/>
      <c r="H558" s="1"/>
      <c r="I558" s="1"/>
      <c r="J558" s="1"/>
      <c r="K558" s="1"/>
      <c r="L558" s="1"/>
      <c r="M558" s="1"/>
      <c r="N558" s="1"/>
      <c r="O558" s="1"/>
      <c r="P558" s="1"/>
      <c r="Q558" s="1"/>
      <c r="R558" s="1"/>
      <c r="S558" s="1"/>
      <c r="T558" s="1"/>
      <c r="U558" s="1"/>
    </row>
    <row r="559" spans="1:21" x14ac:dyDescent="0.25">
      <c r="A559" s="1"/>
      <c r="B559" s="1"/>
      <c r="C559" s="1"/>
      <c r="D559" s="1"/>
      <c r="E559" s="1"/>
      <c r="F559" s="1"/>
      <c r="G559" s="1"/>
      <c r="H559" s="1"/>
      <c r="I559" s="1"/>
      <c r="J559" s="1"/>
      <c r="K559" s="1"/>
      <c r="L559" s="1"/>
      <c r="M559" s="1"/>
      <c r="N559" s="1"/>
      <c r="O559" s="1"/>
      <c r="P559" s="1"/>
      <c r="Q559" s="1"/>
      <c r="R559" s="1"/>
      <c r="S559" s="1"/>
      <c r="T559" s="1"/>
      <c r="U559" s="1"/>
    </row>
    <row r="560" spans="1:21" x14ac:dyDescent="0.25">
      <c r="A560" s="1"/>
      <c r="B560" s="1"/>
      <c r="C560" s="1"/>
      <c r="D560" s="1"/>
      <c r="E560" s="1"/>
      <c r="F560" s="1"/>
      <c r="G560" s="1"/>
      <c r="H560" s="1"/>
      <c r="I560" s="1"/>
      <c r="J560" s="1"/>
      <c r="K560" s="1"/>
      <c r="L560" s="1"/>
      <c r="M560" s="1"/>
      <c r="N560" s="1"/>
      <c r="O560" s="1"/>
      <c r="P560" s="1"/>
      <c r="Q560" s="1"/>
      <c r="R560" s="1"/>
      <c r="S560" s="1"/>
      <c r="T560" s="1"/>
      <c r="U560" s="1"/>
    </row>
    <row r="561" spans="1:21" x14ac:dyDescent="0.25">
      <c r="A561" s="1"/>
      <c r="B561" s="1"/>
      <c r="C561" s="1"/>
      <c r="D561" s="1"/>
      <c r="E561" s="1"/>
      <c r="F561" s="1"/>
      <c r="G561" s="1"/>
      <c r="H561" s="1"/>
      <c r="I561" s="1"/>
      <c r="J561" s="1"/>
      <c r="K561" s="1"/>
      <c r="L561" s="1"/>
      <c r="M561" s="1"/>
      <c r="N561" s="1"/>
      <c r="O561" s="1"/>
      <c r="P561" s="1"/>
      <c r="Q561" s="1"/>
      <c r="R561" s="1"/>
      <c r="S561" s="1"/>
      <c r="T561" s="1"/>
      <c r="U561" s="1"/>
    </row>
    <row r="562" spans="1:21" x14ac:dyDescent="0.25">
      <c r="A562" s="1"/>
      <c r="B562" s="1"/>
      <c r="C562" s="1"/>
      <c r="D562" s="1"/>
      <c r="E562" s="1"/>
      <c r="F562" s="1"/>
      <c r="G562" s="1"/>
      <c r="H562" s="1"/>
      <c r="I562" s="1"/>
      <c r="J562" s="1"/>
      <c r="K562" s="1"/>
      <c r="L562" s="1"/>
      <c r="M562" s="1"/>
      <c r="N562" s="1"/>
      <c r="O562" s="1"/>
      <c r="P562" s="1"/>
      <c r="Q562" s="1"/>
      <c r="R562" s="1"/>
      <c r="S562" s="1"/>
      <c r="T562" s="1"/>
      <c r="U562" s="1"/>
    </row>
    <row r="563" spans="1:21" x14ac:dyDescent="0.25">
      <c r="A563" s="1"/>
      <c r="B563" s="1"/>
      <c r="C563" s="1"/>
      <c r="D563" s="1"/>
      <c r="E563" s="1"/>
      <c r="F563" s="1"/>
      <c r="G563" s="1"/>
      <c r="H563" s="1"/>
      <c r="I563" s="1"/>
      <c r="J563" s="1"/>
      <c r="K563" s="1"/>
      <c r="L563" s="1"/>
      <c r="M563" s="1"/>
      <c r="N563" s="1"/>
      <c r="O563" s="1"/>
      <c r="P563" s="1"/>
      <c r="Q563" s="1"/>
      <c r="R563" s="1"/>
      <c r="S563" s="1"/>
      <c r="T563" s="1"/>
      <c r="U563" s="1"/>
    </row>
    <row r="564" spans="1:21" x14ac:dyDescent="0.25">
      <c r="A564" s="1"/>
      <c r="B564" s="1"/>
      <c r="C564" s="1"/>
      <c r="D564" s="1"/>
      <c r="E564" s="1"/>
      <c r="F564" s="1"/>
      <c r="G564" s="1"/>
      <c r="H564" s="1"/>
      <c r="I564" s="1"/>
      <c r="J564" s="1"/>
      <c r="K564" s="1"/>
      <c r="L564" s="1"/>
      <c r="M564" s="1"/>
      <c r="N564" s="1"/>
      <c r="O564" s="1"/>
      <c r="P564" s="1"/>
      <c r="Q564" s="1"/>
      <c r="R564" s="1"/>
      <c r="S564" s="1"/>
      <c r="T564" s="1"/>
      <c r="U564" s="1"/>
    </row>
    <row r="565" spans="1:21" x14ac:dyDescent="0.25">
      <c r="A565" s="1"/>
      <c r="B565" s="1"/>
      <c r="C565" s="1"/>
      <c r="D565" s="1"/>
      <c r="E565" s="1"/>
      <c r="F565" s="1"/>
      <c r="G565" s="1"/>
      <c r="H565" s="1"/>
      <c r="I565" s="1"/>
      <c r="J565" s="1"/>
      <c r="K565" s="1"/>
      <c r="L565" s="1"/>
      <c r="M565" s="1"/>
      <c r="N565" s="1"/>
      <c r="O565" s="1"/>
      <c r="P565" s="1"/>
      <c r="Q565" s="1"/>
      <c r="R565" s="1"/>
      <c r="S565" s="1"/>
      <c r="T565" s="1"/>
      <c r="U565" s="1"/>
    </row>
    <row r="566" spans="1:21" x14ac:dyDescent="0.25">
      <c r="A566" s="1"/>
      <c r="B566" s="1"/>
      <c r="C566" s="1"/>
      <c r="D566" s="1"/>
      <c r="E566" s="1"/>
      <c r="F566" s="1"/>
      <c r="G566" s="1"/>
      <c r="H566" s="1"/>
      <c r="I566" s="1"/>
      <c r="J566" s="1"/>
      <c r="K566" s="1"/>
      <c r="L566" s="1"/>
      <c r="M566" s="1"/>
      <c r="N566" s="1"/>
      <c r="O566" s="1"/>
      <c r="P566" s="1"/>
      <c r="Q566" s="1"/>
      <c r="R566" s="1"/>
      <c r="S566" s="1"/>
      <c r="T566" s="1"/>
      <c r="U566" s="1"/>
    </row>
    <row r="567" spans="1:21" x14ac:dyDescent="0.25">
      <c r="A567" s="1"/>
      <c r="B567" s="1"/>
      <c r="C567" s="1"/>
      <c r="D567" s="1"/>
      <c r="E567" s="1"/>
      <c r="F567" s="1"/>
      <c r="G567" s="1"/>
      <c r="H567" s="1"/>
      <c r="I567" s="1"/>
      <c r="J567" s="1"/>
      <c r="K567" s="1"/>
      <c r="L567" s="1"/>
      <c r="M567" s="1"/>
      <c r="N567" s="1"/>
      <c r="O567" s="1"/>
      <c r="P567" s="1"/>
      <c r="Q567" s="1"/>
      <c r="R567" s="1"/>
      <c r="S567" s="1"/>
      <c r="T567" s="1"/>
      <c r="U567" s="1"/>
    </row>
    <row r="568" spans="1:21" x14ac:dyDescent="0.25">
      <c r="A568" s="1"/>
      <c r="B568" s="1"/>
      <c r="C568" s="1"/>
      <c r="D568" s="1"/>
      <c r="E568" s="1"/>
      <c r="F568" s="1"/>
      <c r="G568" s="1"/>
      <c r="H568" s="1"/>
      <c r="I568" s="1"/>
      <c r="J568" s="1"/>
      <c r="K568" s="1"/>
      <c r="L568" s="1"/>
      <c r="M568" s="1"/>
      <c r="N568" s="1"/>
      <c r="O568" s="1"/>
      <c r="P568" s="1"/>
      <c r="Q568" s="1"/>
      <c r="R568" s="1"/>
      <c r="S568" s="1"/>
      <c r="T568" s="1"/>
      <c r="U568" s="1"/>
    </row>
    <row r="569" spans="1:21" x14ac:dyDescent="0.25">
      <c r="A569" s="1"/>
      <c r="B569" s="1"/>
      <c r="C569" s="1"/>
      <c r="D569" s="1"/>
      <c r="E569" s="1"/>
      <c r="F569" s="1"/>
      <c r="G569" s="1"/>
      <c r="H569" s="1"/>
      <c r="I569" s="1"/>
      <c r="J569" s="1"/>
      <c r="K569" s="1"/>
      <c r="L569" s="1"/>
      <c r="M569" s="1"/>
      <c r="N569" s="1"/>
      <c r="O569" s="1"/>
      <c r="P569" s="1"/>
      <c r="Q569" s="1"/>
      <c r="R569" s="1"/>
      <c r="S569" s="1"/>
      <c r="T569" s="1"/>
      <c r="U569" s="1"/>
    </row>
    <row r="570" spans="1:21" x14ac:dyDescent="0.25">
      <c r="A570" s="1"/>
      <c r="B570" s="1"/>
      <c r="C570" s="1"/>
      <c r="D570" s="1"/>
      <c r="E570" s="1"/>
      <c r="F570" s="1"/>
      <c r="G570" s="1"/>
      <c r="H570" s="1"/>
      <c r="I570" s="1"/>
      <c r="J570" s="1"/>
      <c r="K570" s="1"/>
      <c r="L570" s="1"/>
      <c r="M570" s="1"/>
      <c r="N570" s="1"/>
      <c r="O570" s="1"/>
      <c r="P570" s="1"/>
      <c r="Q570" s="1"/>
      <c r="R570" s="1"/>
      <c r="S570" s="1"/>
      <c r="T570" s="1"/>
      <c r="U570" s="1"/>
    </row>
    <row r="571" spans="1:21" x14ac:dyDescent="0.25">
      <c r="A571" s="1"/>
      <c r="B571" s="1"/>
      <c r="C571" s="1"/>
      <c r="D571" s="1"/>
      <c r="E571" s="1"/>
      <c r="F571" s="1"/>
      <c r="G571" s="1"/>
      <c r="H571" s="1"/>
      <c r="I571" s="1"/>
      <c r="J571" s="1"/>
      <c r="K571" s="1"/>
      <c r="L571" s="1"/>
      <c r="M571" s="1"/>
      <c r="N571" s="1"/>
      <c r="O571" s="1"/>
      <c r="P571" s="1"/>
      <c r="Q571" s="1"/>
      <c r="R571" s="1"/>
      <c r="S571" s="1"/>
      <c r="T571" s="1"/>
      <c r="U571" s="1"/>
    </row>
    <row r="572" spans="1:21" x14ac:dyDescent="0.25">
      <c r="A572" s="1"/>
      <c r="B572" s="1"/>
      <c r="C572" s="1"/>
      <c r="D572" s="1"/>
      <c r="E572" s="1"/>
      <c r="F572" s="1"/>
      <c r="G572" s="1"/>
      <c r="H572" s="1"/>
      <c r="I572" s="1"/>
      <c r="J572" s="1"/>
      <c r="K572" s="1"/>
      <c r="L572" s="1"/>
      <c r="M572" s="1"/>
      <c r="N572" s="1"/>
      <c r="O572" s="1"/>
      <c r="P572" s="1"/>
      <c r="Q572" s="1"/>
      <c r="R572" s="1"/>
      <c r="S572" s="1"/>
      <c r="T572" s="1"/>
      <c r="U572" s="1"/>
    </row>
    <row r="573" spans="1:21" x14ac:dyDescent="0.25">
      <c r="A573" s="1"/>
      <c r="B573" s="1"/>
      <c r="C573" s="1"/>
      <c r="D573" s="1"/>
      <c r="E573" s="1"/>
      <c r="F573" s="1"/>
      <c r="G573" s="1"/>
      <c r="H573" s="1"/>
      <c r="I573" s="1"/>
      <c r="J573" s="1"/>
      <c r="K573" s="1"/>
      <c r="L573" s="1"/>
      <c r="M573" s="1"/>
      <c r="N573" s="1"/>
      <c r="O573" s="1"/>
      <c r="P573" s="1"/>
      <c r="Q573" s="1"/>
      <c r="R573" s="1"/>
      <c r="S573" s="1"/>
      <c r="T573" s="1"/>
      <c r="U573" s="1"/>
    </row>
    <row r="574" spans="1:21" x14ac:dyDescent="0.25">
      <c r="A574" s="1"/>
      <c r="B574" s="1"/>
      <c r="C574" s="1"/>
      <c r="D574" s="1"/>
      <c r="E574" s="1"/>
      <c r="F574" s="1"/>
      <c r="G574" s="1"/>
      <c r="H574" s="1"/>
      <c r="I574" s="1"/>
      <c r="J574" s="1"/>
      <c r="K574" s="1"/>
      <c r="L574" s="1"/>
      <c r="M574" s="1"/>
      <c r="N574" s="1"/>
      <c r="O574" s="1"/>
      <c r="P574" s="1"/>
      <c r="Q574" s="1"/>
      <c r="R574" s="1"/>
      <c r="S574" s="1"/>
      <c r="T574" s="1"/>
      <c r="U574" s="1"/>
    </row>
    <row r="575" spans="1:21" x14ac:dyDescent="0.25">
      <c r="A575" s="1"/>
      <c r="B575" s="1"/>
      <c r="C575" s="1"/>
      <c r="D575" s="1"/>
      <c r="E575" s="1"/>
      <c r="F575" s="1"/>
      <c r="G575" s="1"/>
      <c r="H575" s="1"/>
      <c r="I575" s="1"/>
      <c r="J575" s="1"/>
      <c r="K575" s="1"/>
      <c r="L575" s="1"/>
      <c r="M575" s="1"/>
      <c r="N575" s="1"/>
      <c r="O575" s="1"/>
      <c r="P575" s="1"/>
      <c r="Q575" s="1"/>
      <c r="R575" s="1"/>
      <c r="S575" s="1"/>
      <c r="T575" s="1"/>
      <c r="U575" s="1"/>
    </row>
    <row r="576" spans="1:21" x14ac:dyDescent="0.25">
      <c r="A576" s="1"/>
      <c r="B576" s="1"/>
      <c r="C576" s="1"/>
      <c r="D576" s="1"/>
      <c r="E576" s="1"/>
      <c r="F576" s="1"/>
      <c r="G576" s="1"/>
      <c r="H576" s="1"/>
      <c r="I576" s="1"/>
      <c r="J576" s="1"/>
      <c r="K576" s="1"/>
      <c r="L576" s="1"/>
      <c r="M576" s="1"/>
      <c r="N576" s="1"/>
      <c r="O576" s="1"/>
      <c r="P576" s="1"/>
      <c r="Q576" s="1"/>
      <c r="R576" s="1"/>
      <c r="S576" s="1"/>
      <c r="T576" s="1"/>
      <c r="U576" s="1"/>
    </row>
    <row r="577" spans="1:21" x14ac:dyDescent="0.25">
      <c r="A577" s="1"/>
      <c r="B577" s="1"/>
      <c r="C577" s="1"/>
      <c r="D577" s="1"/>
      <c r="E577" s="1"/>
      <c r="F577" s="1"/>
      <c r="G577" s="1"/>
      <c r="H577" s="1"/>
      <c r="I577" s="1"/>
      <c r="J577" s="1"/>
      <c r="K577" s="1"/>
      <c r="L577" s="1"/>
      <c r="M577" s="1"/>
      <c r="N577" s="1"/>
      <c r="O577" s="1"/>
      <c r="P577" s="1"/>
      <c r="Q577" s="1"/>
      <c r="R577" s="1"/>
      <c r="S577" s="1"/>
      <c r="T577" s="1"/>
      <c r="U577" s="1"/>
    </row>
    <row r="578" spans="1:21" x14ac:dyDescent="0.25">
      <c r="A578" s="1"/>
      <c r="B578" s="1"/>
      <c r="C578" s="1"/>
      <c r="D578" s="1"/>
      <c r="E578" s="1"/>
      <c r="F578" s="1"/>
      <c r="G578" s="1"/>
      <c r="H578" s="1"/>
      <c r="I578" s="1"/>
      <c r="J578" s="1"/>
      <c r="K578" s="1"/>
      <c r="L578" s="1"/>
      <c r="M578" s="1"/>
      <c r="N578" s="1"/>
      <c r="O578" s="1"/>
      <c r="P578" s="1"/>
      <c r="Q578" s="1"/>
      <c r="R578" s="1"/>
      <c r="S578" s="1"/>
      <c r="T578" s="1"/>
      <c r="U578" s="1"/>
    </row>
    <row r="579" spans="1:21" x14ac:dyDescent="0.25">
      <c r="A579" s="1"/>
      <c r="B579" s="1"/>
      <c r="C579" s="1"/>
      <c r="D579" s="1"/>
      <c r="E579" s="1"/>
      <c r="F579" s="1"/>
      <c r="G579" s="1"/>
      <c r="H579" s="1"/>
      <c r="I579" s="1"/>
      <c r="J579" s="1"/>
      <c r="K579" s="1"/>
      <c r="L579" s="1"/>
      <c r="M579" s="1"/>
      <c r="N579" s="1"/>
      <c r="O579" s="1"/>
      <c r="P579" s="1"/>
      <c r="Q579" s="1"/>
      <c r="R579" s="1"/>
      <c r="S579" s="1"/>
      <c r="T579" s="1"/>
      <c r="U579" s="1"/>
    </row>
    <row r="580" spans="1:21" x14ac:dyDescent="0.25">
      <c r="A580" s="1"/>
      <c r="B580" s="1"/>
      <c r="C580" s="1"/>
      <c r="D580" s="1"/>
      <c r="E580" s="1"/>
      <c r="F580" s="1"/>
      <c r="G580" s="1"/>
      <c r="H580" s="1"/>
      <c r="I580" s="1"/>
      <c r="J580" s="1"/>
      <c r="K580" s="1"/>
      <c r="L580" s="1"/>
      <c r="M580" s="1"/>
      <c r="N580" s="1"/>
      <c r="O580" s="1"/>
      <c r="P580" s="1"/>
      <c r="Q580" s="1"/>
      <c r="R580" s="1"/>
      <c r="S580" s="1"/>
      <c r="T580" s="1"/>
      <c r="U580" s="1"/>
    </row>
    <row r="581" spans="1:21" x14ac:dyDescent="0.25">
      <c r="A581" s="1"/>
      <c r="B581" s="1"/>
      <c r="C581" s="1"/>
      <c r="D581" s="1"/>
      <c r="E581" s="1"/>
      <c r="F581" s="1"/>
      <c r="G581" s="1"/>
      <c r="H581" s="1"/>
      <c r="I581" s="1"/>
      <c r="J581" s="1"/>
      <c r="K581" s="1"/>
      <c r="L581" s="1"/>
      <c r="M581" s="1"/>
      <c r="N581" s="1"/>
      <c r="O581" s="1"/>
      <c r="P581" s="1"/>
      <c r="Q581" s="1"/>
      <c r="R581" s="1"/>
      <c r="S581" s="1"/>
      <c r="T581" s="1"/>
      <c r="U581" s="1"/>
    </row>
    <row r="582" spans="1:21" x14ac:dyDescent="0.25">
      <c r="A582" s="1"/>
      <c r="B582" s="1"/>
      <c r="C582" s="1"/>
      <c r="D582" s="1"/>
      <c r="E582" s="1"/>
      <c r="F582" s="1"/>
      <c r="G582" s="1"/>
      <c r="H582" s="1"/>
      <c r="I582" s="1"/>
      <c r="J582" s="1"/>
      <c r="K582" s="1"/>
      <c r="L582" s="1"/>
      <c r="M582" s="1"/>
      <c r="N582" s="1"/>
      <c r="O582" s="1"/>
      <c r="P582" s="1"/>
      <c r="Q582" s="1"/>
      <c r="R582" s="1"/>
      <c r="S582" s="1"/>
      <c r="T582" s="1"/>
      <c r="U582" s="1"/>
    </row>
    <row r="583" spans="1:21" x14ac:dyDescent="0.25">
      <c r="A583" s="1"/>
      <c r="B583" s="1"/>
      <c r="C583" s="1"/>
      <c r="D583" s="1"/>
      <c r="E583" s="1"/>
      <c r="F583" s="1"/>
      <c r="G583" s="1"/>
      <c r="H583" s="1"/>
      <c r="I583" s="1"/>
      <c r="J583" s="1"/>
      <c r="K583" s="1"/>
      <c r="L583" s="1"/>
      <c r="M583" s="1"/>
      <c r="N583" s="1"/>
      <c r="O583" s="1"/>
      <c r="P583" s="1"/>
      <c r="Q583" s="1"/>
      <c r="R583" s="1"/>
      <c r="S583" s="1"/>
      <c r="T583" s="1"/>
      <c r="U583" s="1"/>
    </row>
    <row r="584" spans="1:21" x14ac:dyDescent="0.25">
      <c r="A584" s="1"/>
      <c r="B584" s="1"/>
      <c r="C584" s="1"/>
      <c r="D584" s="1"/>
      <c r="E584" s="1"/>
      <c r="F584" s="1"/>
      <c r="G584" s="1"/>
      <c r="H584" s="1"/>
      <c r="I584" s="1"/>
      <c r="J584" s="1"/>
      <c r="K584" s="1"/>
      <c r="L584" s="1"/>
      <c r="M584" s="1"/>
      <c r="N584" s="1"/>
      <c r="O584" s="1"/>
      <c r="P584" s="1"/>
      <c r="Q584" s="1"/>
      <c r="R584" s="1"/>
      <c r="S584" s="1"/>
      <c r="T584" s="1"/>
      <c r="U584" s="1"/>
    </row>
    <row r="585" spans="1:21" x14ac:dyDescent="0.25">
      <c r="A585" s="1"/>
      <c r="B585" s="1"/>
      <c r="C585" s="1"/>
      <c r="D585" s="1"/>
      <c r="E585" s="1"/>
      <c r="F585" s="1"/>
      <c r="G585" s="1"/>
      <c r="H585" s="1"/>
      <c r="I585" s="1"/>
      <c r="J585" s="1"/>
      <c r="K585" s="1"/>
      <c r="L585" s="1"/>
      <c r="M585" s="1"/>
      <c r="N585" s="1"/>
      <c r="O585" s="1"/>
      <c r="P585" s="1"/>
      <c r="Q585" s="1"/>
      <c r="R585" s="1"/>
      <c r="S585" s="1"/>
      <c r="T585" s="1"/>
      <c r="U585" s="1"/>
    </row>
    <row r="586" spans="1:21" x14ac:dyDescent="0.25">
      <c r="A586" s="1"/>
      <c r="B586" s="1"/>
      <c r="C586" s="1"/>
      <c r="D586" s="1"/>
      <c r="E586" s="1"/>
      <c r="F586" s="1"/>
      <c r="G586" s="1"/>
      <c r="H586" s="1"/>
      <c r="I586" s="1"/>
      <c r="J586" s="1"/>
      <c r="K586" s="1"/>
      <c r="L586" s="1"/>
      <c r="M586" s="1"/>
      <c r="N586" s="1"/>
      <c r="O586" s="1"/>
      <c r="P586" s="1"/>
      <c r="Q586" s="1"/>
      <c r="R586" s="1"/>
      <c r="S586" s="1"/>
      <c r="T586" s="1"/>
      <c r="U586" s="1"/>
    </row>
    <row r="587" spans="1:21" x14ac:dyDescent="0.25">
      <c r="A587" s="1"/>
      <c r="B587" s="1"/>
      <c r="C587" s="1"/>
      <c r="D587" s="1"/>
      <c r="E587" s="1"/>
      <c r="F587" s="1"/>
      <c r="G587" s="1"/>
      <c r="H587" s="1"/>
      <c r="I587" s="1"/>
      <c r="J587" s="1"/>
      <c r="K587" s="1"/>
      <c r="L587" s="1"/>
      <c r="M587" s="1"/>
      <c r="N587" s="1"/>
      <c r="O587" s="1"/>
      <c r="P587" s="1"/>
      <c r="Q587" s="1"/>
      <c r="R587" s="1"/>
      <c r="S587" s="1"/>
      <c r="T587" s="1"/>
      <c r="U587" s="1"/>
    </row>
    <row r="588" spans="1:21" x14ac:dyDescent="0.25">
      <c r="A588" s="1"/>
      <c r="B588" s="1"/>
      <c r="C588" s="1"/>
      <c r="D588" s="1"/>
      <c r="E588" s="1"/>
      <c r="F588" s="1"/>
      <c r="G588" s="1"/>
      <c r="H588" s="1"/>
      <c r="I588" s="1"/>
      <c r="J588" s="1"/>
      <c r="K588" s="1"/>
      <c r="L588" s="1"/>
      <c r="M588" s="1"/>
      <c r="N588" s="1"/>
      <c r="O588" s="1"/>
      <c r="P588" s="1"/>
      <c r="Q588" s="1"/>
      <c r="R588" s="1"/>
      <c r="S588" s="1"/>
      <c r="T588" s="1"/>
      <c r="U588" s="1"/>
    </row>
    <row r="589" spans="1:21" x14ac:dyDescent="0.25">
      <c r="A589" s="1"/>
      <c r="B589" s="1"/>
      <c r="C589" s="1"/>
      <c r="D589" s="1"/>
      <c r="E589" s="1"/>
      <c r="F589" s="1"/>
      <c r="G589" s="1"/>
      <c r="H589" s="1"/>
      <c r="I589" s="1"/>
      <c r="J589" s="1"/>
      <c r="K589" s="1"/>
      <c r="L589" s="1"/>
      <c r="M589" s="1"/>
      <c r="N589" s="1"/>
      <c r="O589" s="1"/>
      <c r="P589" s="1"/>
      <c r="Q589" s="1"/>
      <c r="R589" s="1"/>
      <c r="S589" s="1"/>
      <c r="T589" s="1"/>
      <c r="U589" s="1"/>
    </row>
    <row r="590" spans="1:21" x14ac:dyDescent="0.25">
      <c r="A590" s="1"/>
      <c r="B590" s="1"/>
      <c r="C590" s="1"/>
      <c r="D590" s="1"/>
      <c r="E590" s="1"/>
      <c r="F590" s="1"/>
      <c r="G590" s="1"/>
      <c r="H590" s="1"/>
      <c r="I590" s="1"/>
      <c r="J590" s="1"/>
      <c r="K590" s="1"/>
      <c r="L590" s="1"/>
      <c r="M590" s="1"/>
      <c r="N590" s="1"/>
      <c r="O590" s="1"/>
      <c r="P590" s="1"/>
      <c r="Q590" s="1"/>
      <c r="R590" s="1"/>
      <c r="S590" s="1"/>
      <c r="T590" s="1"/>
      <c r="U590" s="1"/>
    </row>
    <row r="591" spans="1:21" x14ac:dyDescent="0.25">
      <c r="A591" s="1"/>
      <c r="B591" s="1"/>
      <c r="C591" s="1"/>
      <c r="D591" s="1"/>
      <c r="E591" s="1"/>
      <c r="F591" s="1"/>
      <c r="G591" s="1"/>
      <c r="H591" s="1"/>
      <c r="I591" s="1"/>
      <c r="J591" s="1"/>
      <c r="K591" s="1"/>
      <c r="L591" s="1"/>
      <c r="M591" s="1"/>
      <c r="N591" s="1"/>
      <c r="O591" s="1"/>
      <c r="P591" s="1"/>
      <c r="Q591" s="1"/>
      <c r="R591" s="1"/>
      <c r="S591" s="1"/>
      <c r="T591" s="1"/>
      <c r="U591" s="1"/>
    </row>
    <row r="592" spans="1:21" x14ac:dyDescent="0.25">
      <c r="A592" s="1"/>
      <c r="B592" s="1"/>
      <c r="C592" s="1"/>
      <c r="D592" s="1"/>
      <c r="E592" s="1"/>
      <c r="F592" s="1"/>
      <c r="G592" s="1"/>
      <c r="H592" s="1"/>
      <c r="I592" s="1"/>
      <c r="J592" s="1"/>
      <c r="K592" s="1"/>
      <c r="L592" s="1"/>
      <c r="M592" s="1"/>
      <c r="N592" s="1"/>
      <c r="O592" s="1"/>
      <c r="P592" s="1"/>
      <c r="Q592" s="1"/>
      <c r="R592" s="1"/>
      <c r="S592" s="1"/>
      <c r="T592" s="1"/>
      <c r="U592" s="1"/>
    </row>
    <row r="593" spans="1:21" x14ac:dyDescent="0.25">
      <c r="A593" s="1"/>
      <c r="B593" s="1"/>
      <c r="C593" s="1"/>
      <c r="D593" s="1"/>
      <c r="E593" s="1"/>
      <c r="F593" s="1"/>
      <c r="G593" s="1"/>
      <c r="H593" s="1"/>
      <c r="I593" s="1"/>
      <c r="J593" s="1"/>
      <c r="K593" s="1"/>
      <c r="L593" s="1"/>
      <c r="M593" s="1"/>
      <c r="N593" s="1"/>
      <c r="O593" s="1"/>
      <c r="P593" s="1"/>
      <c r="Q593" s="1"/>
      <c r="R593" s="1"/>
      <c r="S593" s="1"/>
      <c r="T593" s="1"/>
      <c r="U593" s="1"/>
    </row>
    <row r="594" spans="1:21" x14ac:dyDescent="0.25">
      <c r="A594" s="1"/>
      <c r="B594" s="1"/>
      <c r="C594" s="1"/>
      <c r="D594" s="1"/>
      <c r="E594" s="1"/>
      <c r="F594" s="1"/>
      <c r="G594" s="1"/>
      <c r="H594" s="1"/>
      <c r="I594" s="1"/>
      <c r="J594" s="1"/>
      <c r="K594" s="1"/>
      <c r="L594" s="1"/>
      <c r="M594" s="1"/>
      <c r="N594" s="1"/>
      <c r="O594" s="1"/>
      <c r="P594" s="1"/>
      <c r="Q594" s="1"/>
      <c r="R594" s="1"/>
      <c r="S594" s="1"/>
      <c r="T594" s="1"/>
      <c r="U594" s="1"/>
    </row>
    <row r="595" spans="1:21" x14ac:dyDescent="0.25">
      <c r="A595" s="1"/>
      <c r="B595" s="1"/>
      <c r="C595" s="1"/>
      <c r="D595" s="1"/>
      <c r="E595" s="1"/>
      <c r="F595" s="1"/>
      <c r="G595" s="1"/>
      <c r="H595" s="1"/>
      <c r="I595" s="1"/>
      <c r="J595" s="1"/>
      <c r="K595" s="1"/>
      <c r="L595" s="1"/>
      <c r="M595" s="1"/>
      <c r="N595" s="1"/>
      <c r="O595" s="1"/>
      <c r="P595" s="1"/>
      <c r="Q595" s="1"/>
      <c r="R595" s="1"/>
      <c r="S595" s="1"/>
      <c r="T595" s="1"/>
      <c r="U595" s="1"/>
    </row>
    <row r="596" spans="1:21" x14ac:dyDescent="0.25">
      <c r="A596" s="1"/>
      <c r="B596" s="1"/>
      <c r="C596" s="1"/>
      <c r="D596" s="1"/>
      <c r="E596" s="1"/>
      <c r="F596" s="1"/>
      <c r="G596" s="1"/>
      <c r="H596" s="1"/>
      <c r="I596" s="1"/>
      <c r="J596" s="1"/>
      <c r="K596" s="1"/>
      <c r="L596" s="1"/>
      <c r="M596" s="1"/>
      <c r="N596" s="1"/>
      <c r="O596" s="1"/>
      <c r="P596" s="1"/>
      <c r="Q596" s="1"/>
      <c r="R596" s="1"/>
      <c r="S596" s="1"/>
      <c r="T596" s="1"/>
      <c r="U596" s="1"/>
    </row>
    <row r="597" spans="1:21" x14ac:dyDescent="0.25">
      <c r="A597" s="1"/>
      <c r="B597" s="1"/>
      <c r="C597" s="1"/>
      <c r="D597" s="1"/>
      <c r="E597" s="1"/>
      <c r="F597" s="1"/>
      <c r="G597" s="1"/>
      <c r="H597" s="1"/>
      <c r="I597" s="1"/>
      <c r="J597" s="1"/>
      <c r="K597" s="1"/>
      <c r="L597" s="1"/>
      <c r="M597" s="1"/>
      <c r="N597" s="1"/>
      <c r="O597" s="1"/>
      <c r="P597" s="1"/>
      <c r="Q597" s="1"/>
      <c r="R597" s="1"/>
      <c r="S597" s="1"/>
      <c r="T597" s="1"/>
      <c r="U597" s="1"/>
    </row>
    <row r="598" spans="1:21" x14ac:dyDescent="0.25">
      <c r="A598" s="1"/>
      <c r="B598" s="1"/>
      <c r="C598" s="1"/>
      <c r="D598" s="1"/>
      <c r="E598" s="1"/>
      <c r="F598" s="1"/>
      <c r="G598" s="1"/>
      <c r="H598" s="1"/>
      <c r="I598" s="1"/>
      <c r="J598" s="1"/>
      <c r="K598" s="1"/>
      <c r="L598" s="1"/>
      <c r="M598" s="1"/>
      <c r="N598" s="1"/>
      <c r="O598" s="1"/>
      <c r="P598" s="1"/>
      <c r="Q598" s="1"/>
      <c r="R598" s="1"/>
      <c r="S598" s="1"/>
      <c r="T598" s="1"/>
      <c r="U598" s="1"/>
    </row>
    <row r="599" spans="1:21" x14ac:dyDescent="0.25">
      <c r="A599" s="1"/>
      <c r="B599" s="1"/>
      <c r="C599" s="1"/>
      <c r="D599" s="1"/>
      <c r="E599" s="1"/>
      <c r="F599" s="1"/>
      <c r="G599" s="1"/>
      <c r="H599" s="1"/>
      <c r="I599" s="1"/>
      <c r="J599" s="1"/>
      <c r="K599" s="1"/>
      <c r="L599" s="1"/>
      <c r="M599" s="1"/>
      <c r="N599" s="1"/>
      <c r="O599" s="1"/>
      <c r="P599" s="1"/>
      <c r="Q599" s="1"/>
      <c r="R599" s="1"/>
      <c r="S599" s="1"/>
      <c r="T599" s="1"/>
      <c r="U599" s="1"/>
    </row>
    <row r="600" spans="1:21" x14ac:dyDescent="0.25">
      <c r="A600" s="1"/>
      <c r="B600" s="1"/>
      <c r="C600" s="1"/>
      <c r="D600" s="1"/>
      <c r="E600" s="1"/>
      <c r="F600" s="1"/>
      <c r="G600" s="1"/>
      <c r="H600" s="1"/>
      <c r="I600" s="1"/>
      <c r="J600" s="1"/>
      <c r="K600" s="1"/>
      <c r="L600" s="1"/>
      <c r="M600" s="1"/>
      <c r="N600" s="1"/>
      <c r="O600" s="1"/>
      <c r="P600" s="1"/>
      <c r="Q600" s="1"/>
      <c r="R600" s="1"/>
      <c r="S600" s="1"/>
      <c r="T600" s="1"/>
      <c r="U600" s="1"/>
    </row>
    <row r="601" spans="1:21" x14ac:dyDescent="0.25">
      <c r="A601" s="1"/>
      <c r="B601" s="1"/>
      <c r="C601" s="1"/>
      <c r="D601" s="1"/>
      <c r="E601" s="1"/>
      <c r="F601" s="1"/>
      <c r="G601" s="1"/>
      <c r="H601" s="1"/>
      <c r="I601" s="1"/>
      <c r="J601" s="1"/>
      <c r="K601" s="1"/>
      <c r="L601" s="1"/>
      <c r="M601" s="1"/>
      <c r="N601" s="1"/>
      <c r="O601" s="1"/>
      <c r="P601" s="1"/>
      <c r="Q601" s="1"/>
      <c r="R601" s="1"/>
      <c r="S601" s="1"/>
      <c r="T601" s="1"/>
      <c r="U601" s="1"/>
    </row>
    <row r="602" spans="1:21" x14ac:dyDescent="0.25">
      <c r="A602" s="1"/>
      <c r="B602" s="1"/>
      <c r="C602" s="1"/>
      <c r="D602" s="1"/>
      <c r="E602" s="1"/>
      <c r="F602" s="1"/>
      <c r="G602" s="1"/>
      <c r="H602" s="1"/>
      <c r="I602" s="1"/>
      <c r="J602" s="1"/>
      <c r="K602" s="1"/>
      <c r="L602" s="1"/>
      <c r="M602" s="1"/>
      <c r="N602" s="1"/>
      <c r="O602" s="1"/>
      <c r="P602" s="1"/>
      <c r="Q602" s="1"/>
      <c r="R602" s="1"/>
      <c r="S602" s="1"/>
      <c r="T602" s="1"/>
      <c r="U602" s="1"/>
    </row>
    <row r="603" spans="1:21" x14ac:dyDescent="0.25">
      <c r="A603" s="1"/>
      <c r="B603" s="1"/>
      <c r="C603" s="1"/>
      <c r="D603" s="1"/>
      <c r="E603" s="1"/>
      <c r="F603" s="1"/>
      <c r="G603" s="1"/>
      <c r="H603" s="1"/>
      <c r="I603" s="1"/>
      <c r="J603" s="1"/>
      <c r="K603" s="1"/>
      <c r="L603" s="1"/>
      <c r="M603" s="1"/>
      <c r="N603" s="1"/>
      <c r="O603" s="1"/>
      <c r="P603" s="1"/>
      <c r="Q603" s="1"/>
      <c r="R603" s="1"/>
      <c r="S603" s="1"/>
      <c r="T603" s="1"/>
      <c r="U603" s="1"/>
    </row>
    <row r="604" spans="1:21" x14ac:dyDescent="0.25">
      <c r="A604" s="1"/>
      <c r="B604" s="1"/>
      <c r="C604" s="1"/>
      <c r="D604" s="1"/>
      <c r="E604" s="1"/>
      <c r="F604" s="1"/>
      <c r="G604" s="1"/>
      <c r="H604" s="1"/>
      <c r="I604" s="1"/>
      <c r="J604" s="1"/>
      <c r="K604" s="1"/>
      <c r="L604" s="1"/>
      <c r="M604" s="1"/>
      <c r="N604" s="1"/>
      <c r="O604" s="1"/>
      <c r="P604" s="1"/>
      <c r="Q604" s="1"/>
      <c r="R604" s="1"/>
      <c r="S604" s="1"/>
      <c r="T604" s="1"/>
      <c r="U604" s="1"/>
    </row>
    <row r="605" spans="1:21" x14ac:dyDescent="0.25">
      <c r="A605" s="1"/>
      <c r="B605" s="1"/>
      <c r="C605" s="1"/>
      <c r="D605" s="1"/>
      <c r="E605" s="1"/>
      <c r="F605" s="1"/>
      <c r="G605" s="1"/>
      <c r="H605" s="1"/>
      <c r="I605" s="1"/>
      <c r="J605" s="1"/>
      <c r="K605" s="1"/>
      <c r="L605" s="1"/>
      <c r="M605" s="1"/>
      <c r="N605" s="1"/>
      <c r="O605" s="1"/>
      <c r="P605" s="1"/>
      <c r="Q605" s="1"/>
      <c r="R605" s="1"/>
      <c r="S605" s="1"/>
      <c r="T605" s="1"/>
      <c r="U605" s="1"/>
    </row>
    <row r="606" spans="1:21" x14ac:dyDescent="0.25">
      <c r="A606" s="1"/>
      <c r="B606" s="1"/>
      <c r="C606" s="1"/>
      <c r="D606" s="1"/>
      <c r="E606" s="1"/>
      <c r="F606" s="1"/>
      <c r="G606" s="1"/>
      <c r="H606" s="1"/>
      <c r="I606" s="1"/>
      <c r="J606" s="1"/>
      <c r="K606" s="1"/>
      <c r="L606" s="1"/>
      <c r="M606" s="1"/>
      <c r="N606" s="1"/>
      <c r="O606" s="1"/>
      <c r="P606" s="1"/>
      <c r="Q606" s="1"/>
      <c r="R606" s="1"/>
      <c r="S606" s="1"/>
      <c r="T606" s="1"/>
      <c r="U606" s="1"/>
    </row>
    <row r="607" spans="1:21" x14ac:dyDescent="0.25">
      <c r="A607" s="1"/>
      <c r="B607" s="1"/>
      <c r="C607" s="1"/>
      <c r="D607" s="1"/>
      <c r="E607" s="1"/>
      <c r="F607" s="1"/>
      <c r="G607" s="1"/>
      <c r="H607" s="1"/>
      <c r="I607" s="1"/>
      <c r="J607" s="1"/>
      <c r="K607" s="1"/>
      <c r="L607" s="1"/>
      <c r="M607" s="1"/>
      <c r="N607" s="1"/>
      <c r="O607" s="1"/>
      <c r="P607" s="1"/>
      <c r="Q607" s="1"/>
      <c r="R607" s="1"/>
      <c r="S607" s="1"/>
      <c r="T607" s="1"/>
      <c r="U607" s="1"/>
    </row>
    <row r="608" spans="1:21"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E81"/>
  <sheetViews>
    <sheetView workbookViewId="0">
      <selection activeCell="D17" sqref="D17"/>
    </sheetView>
  </sheetViews>
  <sheetFormatPr defaultRowHeight="15" x14ac:dyDescent="0.25"/>
  <cols>
    <col min="1" max="1" width="14.7109375" customWidth="1"/>
  </cols>
  <sheetData>
    <row r="2" spans="1:5" x14ac:dyDescent="0.25">
      <c r="A2" s="1" t="s">
        <v>28</v>
      </c>
      <c r="B2" s="1" t="s">
        <v>204</v>
      </c>
      <c r="E2" s="1"/>
    </row>
    <row r="3" spans="1:5" x14ac:dyDescent="0.25">
      <c r="A3" t="s">
        <v>3</v>
      </c>
      <c r="B3" t="s">
        <v>21</v>
      </c>
      <c r="E3" s="1"/>
    </row>
    <row r="4" spans="1:5" x14ac:dyDescent="0.25">
      <c r="A4" s="1"/>
      <c r="B4" s="1"/>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1"/>
  <sheetViews>
    <sheetView workbookViewId="0"/>
  </sheetViews>
  <sheetFormatPr defaultRowHeight="15" x14ac:dyDescent="0.25"/>
  <cols>
    <col min="1" max="1" width="19.85546875" style="3" customWidth="1"/>
    <col min="2" max="2" width="16" customWidth="1"/>
    <col min="9" max="9" width="41.140625" customWidth="1"/>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t="e">
        <f>Inputs!#REF!</f>
        <v>#REF!</v>
      </c>
    </row>
    <row r="10" spans="1:1" x14ac:dyDescent="0.25">
      <c r="A10" s="3" t="e">
        <f>Inputs!#REF!</f>
        <v>#REF!</v>
      </c>
    </row>
    <row r="11" spans="1:1" x14ac:dyDescent="0.25">
      <c r="A11" s="3">
        <f>Inputs!C30</f>
        <v>24</v>
      </c>
    </row>
    <row r="12" spans="1:1" x14ac:dyDescent="0.25">
      <c r="A12" s="3">
        <f>Inputs!C31</f>
        <v>25</v>
      </c>
    </row>
    <row r="13" spans="1:1" x14ac:dyDescent="0.25">
      <c r="A13" s="3">
        <f>Inputs!C32</f>
        <v>27</v>
      </c>
    </row>
    <row r="14" spans="1:1" x14ac:dyDescent="0.25">
      <c r="A14" s="3">
        <f>Inputs!C33</f>
        <v>28</v>
      </c>
    </row>
    <row r="15" spans="1:1" x14ac:dyDescent="0.25">
      <c r="A15" s="3">
        <f>Inputs!C34</f>
        <v>29</v>
      </c>
    </row>
    <row r="16" spans="1:1" x14ac:dyDescent="0.25">
      <c r="A16" s="3">
        <f>Inputs!C40</f>
        <v>36</v>
      </c>
    </row>
    <row r="17" spans="1:1" x14ac:dyDescent="0.25">
      <c r="A17" s="3">
        <f>Inputs!C41</f>
        <v>40</v>
      </c>
    </row>
    <row r="18" spans="1:1" x14ac:dyDescent="0.25">
      <c r="A18" s="3">
        <f>Inputs!C42</f>
        <v>44</v>
      </c>
    </row>
    <row r="19" spans="1:1" x14ac:dyDescent="0.25">
      <c r="A19" s="3">
        <f>Inputs!C43</f>
        <v>45</v>
      </c>
    </row>
    <row r="20" spans="1:1" x14ac:dyDescent="0.25">
      <c r="A20" s="3">
        <f>Inputs!C44</f>
        <v>46</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Inputs!V$2</f>
        <v>20</v>
      </c>
      <c r="D43">
        <v>1</v>
      </c>
      <c r="E43" t="s">
        <v>32</v>
      </c>
      <c r="G43" t="s">
        <v>33</v>
      </c>
      <c r="H43" s="25" t="s">
        <v>56</v>
      </c>
      <c r="I43" t="str">
        <f>CONCATENATE("=",E43,F43,G43,H43)</f>
        <v>=Inputs!M$2</v>
      </c>
    </row>
    <row r="44" spans="1:9" x14ac:dyDescent="0.25">
      <c r="A44" s="3">
        <f>Inputs!AF$2</f>
        <v>0</v>
      </c>
      <c r="D44">
        <v>2</v>
      </c>
      <c r="E44" t="s">
        <v>32</v>
      </c>
      <c r="G44" t="s">
        <v>34</v>
      </c>
      <c r="H44" s="25" t="s">
        <v>56</v>
      </c>
      <c r="I44" t="str">
        <f t="shared" ref="I44:I92" si="0">CONCATENATE("=",E44,F44,G44,H44)</f>
        <v>=Inputs!N$2</v>
      </c>
    </row>
    <row r="45" spans="1:9" x14ac:dyDescent="0.25">
      <c r="A45" s="3">
        <f>Inputs!AG$2</f>
        <v>0</v>
      </c>
      <c r="D45">
        <v>3</v>
      </c>
      <c r="E45" t="s">
        <v>32</v>
      </c>
      <c r="G45" t="s">
        <v>35</v>
      </c>
      <c r="H45" s="25" t="s">
        <v>56</v>
      </c>
      <c r="I45" t="str">
        <f t="shared" si="0"/>
        <v>=Inputs!O$2</v>
      </c>
    </row>
    <row r="46" spans="1:9" x14ac:dyDescent="0.25">
      <c r="A46" s="3">
        <f>Inputs!AH$2</f>
        <v>0</v>
      </c>
      <c r="D46">
        <v>4</v>
      </c>
      <c r="E46" t="s">
        <v>32</v>
      </c>
      <c r="G46" t="s">
        <v>36</v>
      </c>
      <c r="H46" s="25" t="s">
        <v>56</v>
      </c>
      <c r="I46" t="str">
        <f t="shared" si="0"/>
        <v>=Inputs!P$2</v>
      </c>
    </row>
    <row r="47" spans="1:9" x14ac:dyDescent="0.25">
      <c r="A47" s="3">
        <f>Inputs!AI$2</f>
        <v>0</v>
      </c>
      <c r="D47">
        <v>5</v>
      </c>
      <c r="E47" t="s">
        <v>32</v>
      </c>
      <c r="G47" t="s">
        <v>37</v>
      </c>
      <c r="H47" s="25" t="s">
        <v>56</v>
      </c>
      <c r="I47" t="str">
        <f t="shared" si="0"/>
        <v>=Inputs!Q$2</v>
      </c>
    </row>
    <row r="48" spans="1:9" x14ac:dyDescent="0.25">
      <c r="A48" s="3">
        <f>Inputs!AJ$2</f>
        <v>0</v>
      </c>
      <c r="D48">
        <v>6</v>
      </c>
      <c r="E48" t="s">
        <v>32</v>
      </c>
      <c r="G48" t="s">
        <v>38</v>
      </c>
      <c r="H48" s="25" t="s">
        <v>56</v>
      </c>
      <c r="I48" t="str">
        <f t="shared" si="0"/>
        <v>=Inputs!R$2</v>
      </c>
    </row>
    <row r="49" spans="1:9" x14ac:dyDescent="0.25">
      <c r="A49" s="3">
        <f>Inputs!AK$2</f>
        <v>0</v>
      </c>
      <c r="D49">
        <v>7</v>
      </c>
      <c r="E49" t="s">
        <v>32</v>
      </c>
      <c r="G49" t="s">
        <v>39</v>
      </c>
      <c r="H49" s="25" t="s">
        <v>56</v>
      </c>
      <c r="I49" t="str">
        <f t="shared" si="0"/>
        <v>=Inputs!S$2</v>
      </c>
    </row>
    <row r="50" spans="1:9" x14ac:dyDescent="0.25">
      <c r="A50" s="3" t="e">
        <f>Inputs!#REF!</f>
        <v>#REF!</v>
      </c>
      <c r="D50">
        <v>8</v>
      </c>
      <c r="E50" t="s">
        <v>32</v>
      </c>
      <c r="G50" t="s">
        <v>40</v>
      </c>
      <c r="H50" s="25" t="s">
        <v>56</v>
      </c>
      <c r="I50" t="str">
        <f t="shared" si="0"/>
        <v>=Inputs!T$2</v>
      </c>
    </row>
    <row r="51" spans="1:9" x14ac:dyDescent="0.25">
      <c r="A51" s="3" t="e">
        <f>Inputs!#REF!</f>
        <v>#REF!</v>
      </c>
      <c r="D51">
        <v>9</v>
      </c>
      <c r="E51" t="s">
        <v>32</v>
      </c>
      <c r="G51" t="s">
        <v>41</v>
      </c>
      <c r="H51" s="25" t="s">
        <v>56</v>
      </c>
      <c r="I51" t="str">
        <f t="shared" si="0"/>
        <v>=Inputs!U$2</v>
      </c>
    </row>
    <row r="52" spans="1:9" x14ac:dyDescent="0.25">
      <c r="A52" s="3" t="e">
        <f>Inputs!#REF!</f>
        <v>#REF!</v>
      </c>
      <c r="D52">
        <v>10</v>
      </c>
      <c r="E52" t="s">
        <v>32</v>
      </c>
      <c r="G52" t="s">
        <v>2</v>
      </c>
      <c r="H52" s="25" t="s">
        <v>56</v>
      </c>
      <c r="I52" t="str">
        <f t="shared" si="0"/>
        <v>=Inputs!V$2</v>
      </c>
    </row>
    <row r="53" spans="1:9" x14ac:dyDescent="0.25">
      <c r="A53" s="3" t="e">
        <f>Inputs!#REF!</f>
        <v>#REF!</v>
      </c>
      <c r="D53">
        <v>11</v>
      </c>
      <c r="E53" t="s">
        <v>32</v>
      </c>
      <c r="G53" t="s">
        <v>42</v>
      </c>
      <c r="H53" s="25" t="s">
        <v>56</v>
      </c>
      <c r="I53" t="str">
        <f t="shared" si="0"/>
        <v>=Inputs!W$2</v>
      </c>
    </row>
    <row r="54" spans="1:9" x14ac:dyDescent="0.25">
      <c r="A54" s="3" t="e">
        <f>Inputs!#REF!</f>
        <v>#REF!</v>
      </c>
      <c r="D54">
        <v>12</v>
      </c>
      <c r="E54" t="s">
        <v>32</v>
      </c>
      <c r="G54" t="s">
        <v>43</v>
      </c>
      <c r="H54" s="25" t="s">
        <v>56</v>
      </c>
      <c r="I54" t="str">
        <f t="shared" si="0"/>
        <v>=Inputs!X$2</v>
      </c>
    </row>
    <row r="55" spans="1:9" x14ac:dyDescent="0.25">
      <c r="A55" s="3" t="e">
        <f>Inputs!#REF!</f>
        <v>#REF!</v>
      </c>
      <c r="D55">
        <v>13</v>
      </c>
      <c r="E55" t="s">
        <v>32</v>
      </c>
      <c r="G55" t="s">
        <v>44</v>
      </c>
      <c r="H55" s="25" t="s">
        <v>56</v>
      </c>
      <c r="I55" t="str">
        <f t="shared" si="0"/>
        <v>=Inputs!Y$2</v>
      </c>
    </row>
    <row r="56" spans="1:9" x14ac:dyDescent="0.25">
      <c r="A56" s="3" t="e">
        <f>Inputs!#REF!</f>
        <v>#REF!</v>
      </c>
      <c r="D56">
        <v>14</v>
      </c>
      <c r="E56" t="s">
        <v>32</v>
      </c>
      <c r="G56" t="s">
        <v>45</v>
      </c>
      <c r="H56" s="25" t="s">
        <v>56</v>
      </c>
      <c r="I56" t="str">
        <f t="shared" si="0"/>
        <v>=Inputs!Z$2</v>
      </c>
    </row>
    <row r="57" spans="1:9" x14ac:dyDescent="0.25">
      <c r="A57" s="3" t="e">
        <f>Inputs!#REF!</f>
        <v>#REF!</v>
      </c>
      <c r="D57">
        <v>15</v>
      </c>
      <c r="E57" t="s">
        <v>32</v>
      </c>
      <c r="F57" t="s">
        <v>46</v>
      </c>
      <c r="G57" t="s">
        <v>46</v>
      </c>
      <c r="H57" s="25" t="s">
        <v>56</v>
      </c>
      <c r="I57" t="str">
        <f t="shared" si="0"/>
        <v>=Inputs!AA$2</v>
      </c>
    </row>
    <row r="58" spans="1:9" x14ac:dyDescent="0.25">
      <c r="A58" s="3">
        <f>Inputs!AO$2</f>
        <v>0</v>
      </c>
      <c r="D58">
        <v>16</v>
      </c>
      <c r="E58" t="s">
        <v>32</v>
      </c>
      <c r="F58" t="s">
        <v>46</v>
      </c>
      <c r="G58" t="s">
        <v>30</v>
      </c>
      <c r="H58" s="25" t="s">
        <v>56</v>
      </c>
      <c r="I58" t="str">
        <f t="shared" si="0"/>
        <v>=Inputs!AB$2</v>
      </c>
    </row>
    <row r="59" spans="1:9" x14ac:dyDescent="0.25">
      <c r="A59" s="3">
        <f>Inputs!AP$2</f>
        <v>0</v>
      </c>
      <c r="D59">
        <v>17</v>
      </c>
      <c r="E59" t="s">
        <v>32</v>
      </c>
      <c r="F59" t="s">
        <v>46</v>
      </c>
      <c r="G59" t="s">
        <v>47</v>
      </c>
      <c r="H59" s="25" t="s">
        <v>56</v>
      </c>
      <c r="I59" t="str">
        <f t="shared" si="0"/>
        <v>=Inputs!AC$2</v>
      </c>
    </row>
    <row r="60" spans="1:9" x14ac:dyDescent="0.25">
      <c r="A60" s="3">
        <f>Inputs!AQ$2</f>
        <v>0</v>
      </c>
      <c r="D60">
        <v>18</v>
      </c>
      <c r="E60" t="s">
        <v>32</v>
      </c>
      <c r="F60" t="s">
        <v>46</v>
      </c>
      <c r="G60" t="s">
        <v>29</v>
      </c>
      <c r="H60" s="25" t="s">
        <v>56</v>
      </c>
      <c r="I60" t="str">
        <f t="shared" si="0"/>
        <v>=Inputs!AD$2</v>
      </c>
    </row>
    <row r="61" spans="1:9" x14ac:dyDescent="0.25">
      <c r="A61" s="3">
        <f>Inputs!AR$2</f>
        <v>0</v>
      </c>
      <c r="D61">
        <v>19</v>
      </c>
      <c r="E61" t="s">
        <v>32</v>
      </c>
      <c r="F61" t="s">
        <v>46</v>
      </c>
      <c r="G61" t="s">
        <v>48</v>
      </c>
      <c r="H61" s="25" t="s">
        <v>56</v>
      </c>
      <c r="I61" t="str">
        <f t="shared" si="0"/>
        <v>=Inputs!AE$2</v>
      </c>
    </row>
    <row r="62" spans="1:9" x14ac:dyDescent="0.25">
      <c r="A62" s="3">
        <f>Inputs!AS$2</f>
        <v>0</v>
      </c>
      <c r="D62">
        <v>20</v>
      </c>
      <c r="E62" t="s">
        <v>32</v>
      </c>
      <c r="F62" t="s">
        <v>46</v>
      </c>
      <c r="G62" t="s">
        <v>49</v>
      </c>
      <c r="H62" s="25" t="s">
        <v>56</v>
      </c>
      <c r="I62" t="str">
        <f t="shared" si="0"/>
        <v>=Inputs!AF$2</v>
      </c>
    </row>
    <row r="63" spans="1:9" x14ac:dyDescent="0.25">
      <c r="A63" s="3">
        <f>Inputs!AT$2</f>
        <v>0</v>
      </c>
      <c r="D63">
        <v>21</v>
      </c>
      <c r="E63" t="s">
        <v>32</v>
      </c>
      <c r="F63" t="s">
        <v>46</v>
      </c>
      <c r="G63" t="s">
        <v>50</v>
      </c>
      <c r="H63" s="25" t="s">
        <v>56</v>
      </c>
      <c r="I63" t="str">
        <f t="shared" si="0"/>
        <v>=Inputs!AG$2</v>
      </c>
    </row>
    <row r="64" spans="1:9" x14ac:dyDescent="0.25">
      <c r="A64" s="3">
        <f>Inputs!AU$2</f>
        <v>0</v>
      </c>
      <c r="D64">
        <v>22</v>
      </c>
      <c r="E64" t="s">
        <v>32</v>
      </c>
      <c r="F64" t="s">
        <v>46</v>
      </c>
      <c r="G64" t="s">
        <v>51</v>
      </c>
      <c r="H64" s="25" t="s">
        <v>56</v>
      </c>
      <c r="I64" t="str">
        <f t="shared" si="0"/>
        <v>=Inputs!AH$2</v>
      </c>
    </row>
    <row r="65" spans="1:9" x14ac:dyDescent="0.25">
      <c r="A65" s="3">
        <f>Inputs!AV$2</f>
        <v>0</v>
      </c>
      <c r="D65">
        <v>23</v>
      </c>
      <c r="E65" t="s">
        <v>32</v>
      </c>
      <c r="F65" t="s">
        <v>46</v>
      </c>
      <c r="G65" t="s">
        <v>52</v>
      </c>
      <c r="H65" s="25" t="s">
        <v>56</v>
      </c>
      <c r="I65" t="str">
        <f t="shared" si="0"/>
        <v>=Inputs!AI$2</v>
      </c>
    </row>
    <row r="66" spans="1:9" x14ac:dyDescent="0.25">
      <c r="A66" s="3">
        <f>Inputs!C17</f>
        <v>1</v>
      </c>
      <c r="D66">
        <v>24</v>
      </c>
      <c r="E66" t="s">
        <v>32</v>
      </c>
      <c r="F66" t="s">
        <v>46</v>
      </c>
      <c r="G66" t="s">
        <v>53</v>
      </c>
      <c r="H66" s="25" t="s">
        <v>56</v>
      </c>
      <c r="I66" t="str">
        <f t="shared" si="0"/>
        <v>=Inputs!AJ$2</v>
      </c>
    </row>
    <row r="67" spans="1:9" x14ac:dyDescent="0.25">
      <c r="A67" s="3">
        <f>Inputs!C18</f>
        <v>2</v>
      </c>
      <c r="D67">
        <v>25</v>
      </c>
      <c r="E67" t="s">
        <v>32</v>
      </c>
      <c r="F67" t="s">
        <v>46</v>
      </c>
      <c r="G67" t="s">
        <v>54</v>
      </c>
      <c r="H67" s="25" t="s">
        <v>56</v>
      </c>
      <c r="I67" t="str">
        <f t="shared" si="0"/>
        <v>=Inputs!AK$2</v>
      </c>
    </row>
    <row r="68" spans="1:9" x14ac:dyDescent="0.25">
      <c r="A68" s="3">
        <f>Inputs!C19</f>
        <v>7</v>
      </c>
      <c r="D68">
        <v>26</v>
      </c>
      <c r="E68" t="s">
        <v>32</v>
      </c>
      <c r="F68" t="s">
        <v>46</v>
      </c>
      <c r="G68" t="s">
        <v>55</v>
      </c>
      <c r="H68" s="25" t="s">
        <v>56</v>
      </c>
      <c r="I68" t="str">
        <f t="shared" si="0"/>
        <v>=Inputs!AL$2</v>
      </c>
    </row>
    <row r="69" spans="1:9" x14ac:dyDescent="0.25">
      <c r="A69" s="3">
        <f>Inputs!C3</f>
        <v>43</v>
      </c>
      <c r="D69">
        <v>27</v>
      </c>
      <c r="E69" t="s">
        <v>32</v>
      </c>
      <c r="F69" t="s">
        <v>46</v>
      </c>
      <c r="G69" t="s">
        <v>33</v>
      </c>
      <c r="H69" s="25" t="s">
        <v>56</v>
      </c>
      <c r="I69" t="str">
        <f t="shared" si="0"/>
        <v>=Inputs!AM$2</v>
      </c>
    </row>
    <row r="70" spans="1:9" x14ac:dyDescent="0.25">
      <c r="A70" s="3">
        <f>Inputs!N$2</f>
        <v>4</v>
      </c>
      <c r="D70">
        <v>28</v>
      </c>
      <c r="E70" t="s">
        <v>32</v>
      </c>
      <c r="F70" t="s">
        <v>46</v>
      </c>
      <c r="G70" t="s">
        <v>34</v>
      </c>
      <c r="H70" s="25" t="s">
        <v>56</v>
      </c>
      <c r="I70" t="str">
        <f t="shared" si="0"/>
        <v>=Inputs!AN$2</v>
      </c>
    </row>
    <row r="71" spans="1:9" x14ac:dyDescent="0.25">
      <c r="A71" s="3">
        <f>Inputs!O$2</f>
        <v>5</v>
      </c>
      <c r="D71">
        <v>29</v>
      </c>
      <c r="E71" t="s">
        <v>32</v>
      </c>
      <c r="F71" t="s">
        <v>46</v>
      </c>
      <c r="G71" t="s">
        <v>35</v>
      </c>
      <c r="H71" s="25" t="s">
        <v>56</v>
      </c>
      <c r="I71" t="str">
        <f t="shared" si="0"/>
        <v>=Inputs!AO$2</v>
      </c>
    </row>
    <row r="72" spans="1:9" x14ac:dyDescent="0.25">
      <c r="A72" s="3">
        <f>Inputs!R$2</f>
        <v>16</v>
      </c>
      <c r="D72">
        <v>30</v>
      </c>
      <c r="E72" t="s">
        <v>32</v>
      </c>
      <c r="F72" t="s">
        <v>46</v>
      </c>
      <c r="G72" t="s">
        <v>36</v>
      </c>
      <c r="H72" s="25" t="s">
        <v>56</v>
      </c>
      <c r="I72" t="str">
        <f t="shared" si="0"/>
        <v>=Inputs!AP$2</v>
      </c>
    </row>
    <row r="73" spans="1:9" x14ac:dyDescent="0.25">
      <c r="A73" s="3" t="e">
        <f>Inputs!#REF!</f>
        <v>#REF!</v>
      </c>
      <c r="D73">
        <v>31</v>
      </c>
      <c r="E73" t="s">
        <v>32</v>
      </c>
      <c r="F73" t="s">
        <v>46</v>
      </c>
      <c r="G73" t="s">
        <v>37</v>
      </c>
      <c r="H73" s="25" t="s">
        <v>56</v>
      </c>
      <c r="I73" t="str">
        <f t="shared" si="0"/>
        <v>=Inputs!AQ$2</v>
      </c>
    </row>
    <row r="74" spans="1:9" x14ac:dyDescent="0.25">
      <c r="A74" s="3">
        <f>Inputs!C4</f>
        <v>0</v>
      </c>
      <c r="D74">
        <v>32</v>
      </c>
      <c r="E74" t="s">
        <v>32</v>
      </c>
      <c r="F74" t="s">
        <v>46</v>
      </c>
      <c r="G74" t="s">
        <v>38</v>
      </c>
      <c r="H74" s="25" t="s">
        <v>56</v>
      </c>
      <c r="I74" t="str">
        <f t="shared" si="0"/>
        <v>=Inputs!AR$2</v>
      </c>
    </row>
    <row r="75" spans="1:9" x14ac:dyDescent="0.25">
      <c r="A75" s="3">
        <f>Inputs!C5</f>
        <v>0</v>
      </c>
      <c r="D75">
        <v>33</v>
      </c>
      <c r="E75" t="s">
        <v>32</v>
      </c>
      <c r="F75" t="s">
        <v>46</v>
      </c>
      <c r="G75" t="s">
        <v>39</v>
      </c>
      <c r="H75" s="25" t="s">
        <v>56</v>
      </c>
      <c r="I75" t="str">
        <f t="shared" si="0"/>
        <v>=Inputs!AS$2</v>
      </c>
    </row>
    <row r="76" spans="1:9" x14ac:dyDescent="0.25">
      <c r="A76" s="3" t="e">
        <f>Inputs!#REF!</f>
        <v>#REF!</v>
      </c>
      <c r="D76">
        <v>34</v>
      </c>
      <c r="E76" t="s">
        <v>32</v>
      </c>
      <c r="F76" t="s">
        <v>46</v>
      </c>
      <c r="G76" t="s">
        <v>40</v>
      </c>
      <c r="H76" s="25" t="s">
        <v>56</v>
      </c>
      <c r="I76" t="str">
        <f t="shared" si="0"/>
        <v>=Inputs!AT$2</v>
      </c>
    </row>
    <row r="77" spans="1:9" x14ac:dyDescent="0.25">
      <c r="A77" s="3" t="str">
        <f>Inputs!B20</f>
        <v>ETC_APP_ID</v>
      </c>
      <c r="D77">
        <v>35</v>
      </c>
      <c r="E77" t="s">
        <v>32</v>
      </c>
      <c r="F77" t="s">
        <v>46</v>
      </c>
      <c r="G77" t="s">
        <v>41</v>
      </c>
      <c r="H77" s="25" t="s">
        <v>56</v>
      </c>
      <c r="I77" t="str">
        <f t="shared" si="0"/>
        <v>=Inputs!AU$2</v>
      </c>
    </row>
    <row r="78" spans="1:9" x14ac:dyDescent="0.25">
      <c r="A78" s="3">
        <f>Inputs!C20</f>
        <v>8</v>
      </c>
      <c r="D78">
        <v>36</v>
      </c>
      <c r="E78" t="s">
        <v>32</v>
      </c>
      <c r="F78" t="s">
        <v>46</v>
      </c>
      <c r="G78" t="s">
        <v>2</v>
      </c>
      <c r="H78" s="25" t="s">
        <v>56</v>
      </c>
      <c r="I78" t="str">
        <f t="shared" si="0"/>
        <v>=Inputs!AV$2</v>
      </c>
    </row>
    <row r="79" spans="1:9" x14ac:dyDescent="0.25">
      <c r="A79" s="3">
        <f>Inputs!C21</f>
        <v>9</v>
      </c>
      <c r="D79">
        <v>37</v>
      </c>
      <c r="E79" t="s">
        <v>32</v>
      </c>
      <c r="F79" t="s">
        <v>46</v>
      </c>
      <c r="G79" t="s">
        <v>42</v>
      </c>
      <c r="H79" s="25" t="s">
        <v>56</v>
      </c>
      <c r="I79" t="str">
        <f t="shared" si="0"/>
        <v>=Inputs!AW$2</v>
      </c>
    </row>
    <row r="80" spans="1:9" x14ac:dyDescent="0.25">
      <c r="A80" s="3">
        <f>Inputs!C22</f>
        <v>10</v>
      </c>
      <c r="D80">
        <v>38</v>
      </c>
      <c r="E80" t="s">
        <v>32</v>
      </c>
      <c r="F80" t="s">
        <v>46</v>
      </c>
      <c r="G80" t="s">
        <v>43</v>
      </c>
      <c r="H80" s="25" t="s">
        <v>56</v>
      </c>
      <c r="I80" t="str">
        <f t="shared" si="0"/>
        <v>=Inputs!AX$2</v>
      </c>
    </row>
    <row r="81" spans="1:9" x14ac:dyDescent="0.25">
      <c r="A81" s="3" t="e">
        <f>Inputs!#REF!</f>
        <v>#REF!</v>
      </c>
      <c r="D81">
        <v>39</v>
      </c>
      <c r="E81" t="s">
        <v>32</v>
      </c>
      <c r="F81" t="s">
        <v>46</v>
      </c>
      <c r="G81" t="s">
        <v>44</v>
      </c>
      <c r="H81" s="25" t="s">
        <v>56</v>
      </c>
      <c r="I81" t="str">
        <f t="shared" si="0"/>
        <v>=Inputs!AY$2</v>
      </c>
    </row>
    <row r="82" spans="1:9" x14ac:dyDescent="0.25">
      <c r="A82" s="3" t="e">
        <f>Inputs!#REF!</f>
        <v>#REF!</v>
      </c>
      <c r="D82">
        <v>40</v>
      </c>
      <c r="E82" t="s">
        <v>32</v>
      </c>
      <c r="F82" t="s">
        <v>46</v>
      </c>
      <c r="G82" t="s">
        <v>45</v>
      </c>
      <c r="H82" s="25" t="s">
        <v>56</v>
      </c>
      <c r="I82" t="str">
        <f t="shared" si="0"/>
        <v>=Inputs!AZ$2</v>
      </c>
    </row>
    <row r="83" spans="1:9" x14ac:dyDescent="0.25">
      <c r="A83" s="3" t="e">
        <f>Inputs!#REF!</f>
        <v>#REF!</v>
      </c>
      <c r="D83">
        <v>41</v>
      </c>
      <c r="E83" t="s">
        <v>32</v>
      </c>
      <c r="F83" t="s">
        <v>30</v>
      </c>
      <c r="G83" t="s">
        <v>46</v>
      </c>
      <c r="H83" s="25" t="s">
        <v>56</v>
      </c>
      <c r="I83" t="str">
        <f t="shared" si="0"/>
        <v>=Inputs!BA$2</v>
      </c>
    </row>
    <row r="84" spans="1:9" x14ac:dyDescent="0.25">
      <c r="A84" s="3" t="e">
        <f>Inputs!#REF!</f>
        <v>#REF!</v>
      </c>
      <c r="D84">
        <v>42</v>
      </c>
      <c r="E84" t="s">
        <v>32</v>
      </c>
      <c r="F84" t="s">
        <v>30</v>
      </c>
      <c r="G84" t="s">
        <v>30</v>
      </c>
      <c r="H84" s="25" t="s">
        <v>56</v>
      </c>
      <c r="I84" t="str">
        <f t="shared" si="0"/>
        <v>=Inputs!BB$2</v>
      </c>
    </row>
    <row r="85" spans="1:9" x14ac:dyDescent="0.25">
      <c r="A85" s="3" t="e">
        <f>Inputs!#REF!</f>
        <v>#REF!</v>
      </c>
      <c r="D85">
        <v>43</v>
      </c>
      <c r="E85" t="s">
        <v>32</v>
      </c>
      <c r="F85" t="s">
        <v>30</v>
      </c>
      <c r="G85" t="s">
        <v>47</v>
      </c>
      <c r="H85" s="25" t="s">
        <v>56</v>
      </c>
      <c r="I85" t="str">
        <f t="shared" si="0"/>
        <v>=Inputs!BC$2</v>
      </c>
    </row>
    <row r="86" spans="1:9" x14ac:dyDescent="0.25">
      <c r="A86" s="3" t="e">
        <f>Inputs!#REF!</f>
        <v>#REF!</v>
      </c>
      <c r="D86">
        <v>44</v>
      </c>
      <c r="E86" t="s">
        <v>32</v>
      </c>
      <c r="F86" t="s">
        <v>30</v>
      </c>
      <c r="G86" t="s">
        <v>29</v>
      </c>
      <c r="H86" s="25" t="s">
        <v>56</v>
      </c>
      <c r="I86" t="str">
        <f t="shared" si="0"/>
        <v>=Inputs!BD$2</v>
      </c>
    </row>
    <row r="87" spans="1:9" x14ac:dyDescent="0.25">
      <c r="A87" s="3" t="e">
        <f>Inputs!#REF!</f>
        <v>#REF!</v>
      </c>
      <c r="D87">
        <v>45</v>
      </c>
      <c r="E87" t="s">
        <v>32</v>
      </c>
      <c r="F87" t="s">
        <v>30</v>
      </c>
      <c r="G87" t="s">
        <v>48</v>
      </c>
      <c r="H87" s="25" t="s">
        <v>56</v>
      </c>
      <c r="I87" t="str">
        <f t="shared" si="0"/>
        <v>=Inputs!BE$2</v>
      </c>
    </row>
    <row r="88" spans="1:9" x14ac:dyDescent="0.25">
      <c r="A88" s="3">
        <f>Inputs!C23</f>
        <v>12</v>
      </c>
      <c r="D88">
        <v>46</v>
      </c>
      <c r="E88" t="s">
        <v>32</v>
      </c>
      <c r="F88" t="s">
        <v>30</v>
      </c>
      <c r="G88" t="s">
        <v>49</v>
      </c>
      <c r="H88" s="25" t="s">
        <v>56</v>
      </c>
      <c r="I88" t="str">
        <f t="shared" si="0"/>
        <v>=Inputs!BF$2</v>
      </c>
    </row>
    <row r="89" spans="1:9" x14ac:dyDescent="0.25">
      <c r="A89" s="3">
        <f>Inputs!C24</f>
        <v>13</v>
      </c>
      <c r="D89">
        <v>47</v>
      </c>
      <c r="E89" t="s">
        <v>32</v>
      </c>
      <c r="F89" t="s">
        <v>30</v>
      </c>
      <c r="G89" t="s">
        <v>50</v>
      </c>
      <c r="H89" s="25" t="s">
        <v>56</v>
      </c>
      <c r="I89" t="str">
        <f t="shared" si="0"/>
        <v>=Inputs!BG$2</v>
      </c>
    </row>
    <row r="90" spans="1:9" x14ac:dyDescent="0.25">
      <c r="A90" s="3" t="e">
        <f>Inputs!#REF!</f>
        <v>#REF!</v>
      </c>
      <c r="D90">
        <v>48</v>
      </c>
      <c r="E90" t="s">
        <v>32</v>
      </c>
      <c r="F90" t="s">
        <v>30</v>
      </c>
      <c r="G90" t="s">
        <v>51</v>
      </c>
      <c r="H90" s="25" t="s">
        <v>56</v>
      </c>
      <c r="I90" t="str">
        <f t="shared" si="0"/>
        <v>=Inputs!BH$2</v>
      </c>
    </row>
    <row r="91" spans="1:9" x14ac:dyDescent="0.25">
      <c r="A91" s="3" t="e">
        <f>Inputs!#REF!</f>
        <v>#REF!</v>
      </c>
      <c r="D91">
        <v>49</v>
      </c>
      <c r="E91" t="s">
        <v>32</v>
      </c>
      <c r="F91" t="s">
        <v>30</v>
      </c>
      <c r="G91" t="s">
        <v>52</v>
      </c>
      <c r="H91" s="25" t="s">
        <v>56</v>
      </c>
      <c r="I91" t="str">
        <f t="shared" si="0"/>
        <v>=Inputs!BI$2</v>
      </c>
    </row>
    <row r="92" spans="1:9" x14ac:dyDescent="0.25">
      <c r="A92" s="3" t="e">
        <f>Inputs!#REF!</f>
        <v>#REF!</v>
      </c>
      <c r="D92">
        <v>50</v>
      </c>
      <c r="E92" t="s">
        <v>32</v>
      </c>
      <c r="F92" t="s">
        <v>30</v>
      </c>
      <c r="G92" t="s">
        <v>53</v>
      </c>
      <c r="H92" s="25" t="s">
        <v>56</v>
      </c>
      <c r="I92" t="str">
        <f t="shared" si="0"/>
        <v>=Inputs!BJ$2</v>
      </c>
    </row>
    <row r="93" spans="1:9" x14ac:dyDescent="0.25">
      <c r="A93" s="3" t="e">
        <f>Inputs!#REF!</f>
        <v>#REF!</v>
      </c>
    </row>
    <row r="94" spans="1:9" x14ac:dyDescent="0.25">
      <c r="A94" s="3" t="e">
        <f>Inputs!#REF!</f>
        <v>#REF!</v>
      </c>
    </row>
    <row r="95" spans="1:9" x14ac:dyDescent="0.25">
      <c r="A95" s="3">
        <f>Inputs!C25</f>
        <v>14</v>
      </c>
    </row>
    <row r="96" spans="1:9" x14ac:dyDescent="0.25">
      <c r="A96" s="3" t="e">
        <f>Inputs!#REF!</f>
        <v>#REF!</v>
      </c>
    </row>
    <row r="97" spans="1:1" x14ac:dyDescent="0.25">
      <c r="A97" s="3">
        <f>Inputs!C26</f>
        <v>15</v>
      </c>
    </row>
    <row r="98" spans="1:1" x14ac:dyDescent="0.25">
      <c r="A98" s="3" t="e">
        <f>Inputs!#REF!</f>
        <v>#REF!</v>
      </c>
    </row>
    <row r="99" spans="1:1" x14ac:dyDescent="0.25">
      <c r="A99" s="3" t="e">
        <f>Inputs!#REF!</f>
        <v>#REF!</v>
      </c>
    </row>
    <row r="100" spans="1:1" x14ac:dyDescent="0.25">
      <c r="A100" s="3" t="e">
        <f>Inputs!#REF!</f>
        <v>#REF!</v>
      </c>
    </row>
    <row r="101" spans="1:1" x14ac:dyDescent="0.25">
      <c r="A101" s="3">
        <f>Inputs!P$2</f>
        <v>6</v>
      </c>
    </row>
    <row r="102" spans="1:1" x14ac:dyDescent="0.25">
      <c r="A102" s="3">
        <f>Inputs!Q$2</f>
        <v>11</v>
      </c>
    </row>
    <row r="103" spans="1:1" x14ac:dyDescent="0.25">
      <c r="A103" s="3">
        <f>Inputs!T$2</f>
        <v>18</v>
      </c>
    </row>
    <row r="104" spans="1:1" x14ac:dyDescent="0.25">
      <c r="A104" s="3">
        <f>Inputs!U$2</f>
        <v>19</v>
      </c>
    </row>
    <row r="105" spans="1:1" x14ac:dyDescent="0.25">
      <c r="A105" s="3">
        <f>Inputs!X$2</f>
        <v>34</v>
      </c>
    </row>
    <row r="106" spans="1:1" x14ac:dyDescent="0.25">
      <c r="A106" s="3">
        <f>Inputs!Y$2</f>
        <v>37</v>
      </c>
    </row>
    <row r="107" spans="1:1" x14ac:dyDescent="0.25">
      <c r="A107" s="3">
        <f>Inputs!Z$2</f>
        <v>38</v>
      </c>
    </row>
    <row r="108" spans="1:1" x14ac:dyDescent="0.25">
      <c r="A108" s="3">
        <f>Inputs!C27</f>
        <v>21</v>
      </c>
    </row>
    <row r="109" spans="1:1" x14ac:dyDescent="0.25">
      <c r="A109" s="3">
        <f>Inputs!C28</f>
        <v>22</v>
      </c>
    </row>
    <row r="110" spans="1:1" x14ac:dyDescent="0.25">
      <c r="A110" s="3">
        <f>Inputs!C29</f>
        <v>23</v>
      </c>
    </row>
    <row r="111" spans="1:1" x14ac:dyDescent="0.25">
      <c r="A111" s="3" t="e">
        <f>Inputs!#REF!</f>
        <v>#REF!</v>
      </c>
    </row>
  </sheetData>
  <autoFilter ref="A1:A47"/>
  <sortState ref="A2:A111">
    <sortCondition ref="A2:A11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22"/>
  <sheetViews>
    <sheetView workbookViewId="0">
      <selection activeCell="H16" sqref="H16"/>
    </sheetView>
  </sheetViews>
  <sheetFormatPr defaultRowHeight="15" x14ac:dyDescent="0.25"/>
  <cols>
    <col min="1" max="1" width="11.85546875" customWidth="1"/>
    <col min="6" max="7" width="10.28515625" customWidth="1"/>
    <col min="8" max="8" width="20.28515625" customWidth="1"/>
    <col min="11" max="11" width="19.42578125" customWidth="1"/>
    <col min="12" max="12" width="14.85546875" customWidth="1"/>
    <col min="16" max="16" width="13.7109375" customWidth="1"/>
    <col min="20" max="20" width="15.7109375" customWidth="1"/>
    <col min="22" max="22" width="20.5703125" customWidth="1"/>
  </cols>
  <sheetData>
    <row r="1" spans="1:23" s="2" customFormat="1"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v>
      </c>
      <c r="B5" t="str">
        <f>Data1!B3</f>
        <v>B</v>
      </c>
      <c r="D5" t="str">
        <f>Data1!C3</f>
        <v>20180525</v>
      </c>
      <c r="E5" t="str">
        <f>Data1!D3</f>
        <v>******</v>
      </c>
      <c r="F5" t="str">
        <f>Data1!E3</f>
        <v>***</v>
      </c>
      <c r="G5" t="str">
        <f>Data1!F3</f>
        <v>***</v>
      </c>
      <c r="H5" t="str">
        <f>Data1!G3</f>
        <v>*</v>
      </c>
      <c r="I5" t="str">
        <f>Data1!H3</f>
        <v>1</v>
      </c>
      <c r="J5" t="str">
        <f>Data1!I3</f>
        <v>0</v>
      </c>
      <c r="K5" t="str">
        <f>Data1!J3</f>
        <v>***</v>
      </c>
      <c r="L5" t="str">
        <f>Data1!K3</f>
        <v>***********</v>
      </c>
      <c r="M5" t="str">
        <f>Data1!L3</f>
        <v>00000</v>
      </c>
      <c r="N5" t="str">
        <f>Data1!M3</f>
        <v>00</v>
      </c>
      <c r="P5" t="str">
        <f>Data1!N3</f>
        <v>1</v>
      </c>
      <c r="Q5" t="str">
        <f>Data1!O3</f>
        <v>00000</v>
      </c>
      <c r="R5" t="str">
        <f>Data1!P3</f>
        <v>02</v>
      </c>
      <c r="S5" t="str">
        <f>Data1!Q3</f>
        <v>02</v>
      </c>
      <c r="T5" t="str">
        <f>Data1!R3</f>
        <v>02</v>
      </c>
      <c r="U5" t="str">
        <f>Data1!S3</f>
        <v>0</v>
      </c>
      <c r="V5" t="str">
        <f>Data1!T3</f>
        <v>0</v>
      </c>
      <c r="W5" t="str">
        <f>Data1!U3</f>
        <v>00</v>
      </c>
    </row>
    <row r="6" spans="1:23" x14ac:dyDescent="0.25">
      <c r="A6" t="str">
        <f>Data1!A4</f>
        <v>[</v>
      </c>
      <c r="B6" t="str">
        <f>Data1!B4</f>
        <v>B</v>
      </c>
      <c r="D6" t="str">
        <f>Data1!C4</f>
        <v>20180525</v>
      </c>
      <c r="E6" t="str">
        <f>Data1!D4</f>
        <v>******</v>
      </c>
      <c r="F6" t="str">
        <f>Data1!E4</f>
        <v>***</v>
      </c>
      <c r="G6" t="str">
        <f>Data1!F4</f>
        <v>***</v>
      </c>
      <c r="H6" t="str">
        <f>Data1!G4</f>
        <v>*</v>
      </c>
      <c r="I6" t="str">
        <f>Data1!H4</f>
        <v>1</v>
      </c>
      <c r="J6" t="str">
        <f>Data1!I4</f>
        <v>0</v>
      </c>
      <c r="K6" t="str">
        <f>Data1!J4</f>
        <v>***</v>
      </c>
      <c r="L6" t="str">
        <f>Data1!K4</f>
        <v>***********</v>
      </c>
      <c r="M6" t="str">
        <f>Data1!L4</f>
        <v>00000</v>
      </c>
      <c r="N6" t="str">
        <f>Data1!M4</f>
        <v>00</v>
      </c>
      <c r="P6" t="str">
        <f>Data1!N4</f>
        <v>1</v>
      </c>
      <c r="Q6" t="str">
        <f>Data1!O4</f>
        <v>00000</v>
      </c>
      <c r="R6" t="str">
        <f>Data1!P4</f>
        <v>02</v>
      </c>
      <c r="S6" t="str">
        <f>Data1!Q4</f>
        <v>02</v>
      </c>
      <c r="T6" t="str">
        <f>Data1!R4</f>
        <v>02</v>
      </c>
      <c r="U6" t="str">
        <f>Data1!S4</f>
        <v>0</v>
      </c>
      <c r="V6" t="str">
        <f>Data1!T4</f>
        <v>0</v>
      </c>
      <c r="W6" t="str">
        <f>Data1!U4</f>
        <v>00</v>
      </c>
    </row>
    <row r="7" spans="1:23" x14ac:dyDescent="0.25">
      <c r="A7" t="str">
        <f>Data1!A5</f>
        <v>[</v>
      </c>
      <c r="B7" t="str">
        <f>Data1!B5</f>
        <v>B</v>
      </c>
      <c r="D7" t="str">
        <f>Data1!C5</f>
        <v>20180525</v>
      </c>
      <c r="E7" t="str">
        <f>Data1!D5</f>
        <v>******</v>
      </c>
      <c r="F7" t="str">
        <f>Data1!E5</f>
        <v>***</v>
      </c>
      <c r="G7" t="str">
        <f>Data1!F5</f>
        <v>***</v>
      </c>
      <c r="H7" t="str">
        <f>Data1!G5</f>
        <v>*</v>
      </c>
      <c r="I7" t="str">
        <f>Data1!H5</f>
        <v>1</v>
      </c>
      <c r="J7" t="str">
        <f>Data1!I5</f>
        <v>0</v>
      </c>
      <c r="K7" t="str">
        <f>Data1!J5</f>
        <v>***</v>
      </c>
      <c r="L7" t="str">
        <f>Data1!K5</f>
        <v>***********</v>
      </c>
      <c r="M7" t="str">
        <f>Data1!L5</f>
        <v>00000</v>
      </c>
      <c r="N7" t="str">
        <f>Data1!M5</f>
        <v>00</v>
      </c>
      <c r="P7" t="str">
        <f>Data1!N5</f>
        <v>1</v>
      </c>
      <c r="Q7" t="str">
        <f>Data1!O5</f>
        <v>00000</v>
      </c>
      <c r="R7" t="str">
        <f>Data1!P5</f>
        <v>02</v>
      </c>
      <c r="S7" t="str">
        <f>Data1!Q5</f>
        <v>02</v>
      </c>
      <c r="T7" t="str">
        <f>Data1!R5</f>
        <v>02</v>
      </c>
      <c r="U7" t="str">
        <f>Data1!S5</f>
        <v>0</v>
      </c>
      <c r="V7" t="str">
        <f>Data1!T5</f>
        <v>0</v>
      </c>
      <c r="W7" t="str">
        <f>Data1!U5</f>
        <v>00</v>
      </c>
    </row>
    <row r="8" spans="1:23" x14ac:dyDescent="0.25">
      <c r="A8" t="str">
        <f>Data1!A6</f>
        <v>[</v>
      </c>
      <c r="B8" t="str">
        <f>Data1!B6</f>
        <v>B</v>
      </c>
      <c r="D8" t="str">
        <f>Data1!C6</f>
        <v>20180525</v>
      </c>
      <c r="E8" t="str">
        <f>Data1!D6</f>
        <v>******</v>
      </c>
      <c r="F8" t="str">
        <f>Data1!E6</f>
        <v>***</v>
      </c>
      <c r="G8" t="str">
        <f>Data1!F6</f>
        <v>***</v>
      </c>
      <c r="H8" t="str">
        <f>Data1!G6</f>
        <v>*</v>
      </c>
      <c r="I8" t="str">
        <f>Data1!H6</f>
        <v>1</v>
      </c>
      <c r="J8" t="str">
        <f>Data1!I6</f>
        <v>0</v>
      </c>
      <c r="K8" t="str">
        <f>Data1!J6</f>
        <v>***</v>
      </c>
      <c r="L8" t="str">
        <f>Data1!K6</f>
        <v>***********</v>
      </c>
      <c r="M8" t="str">
        <f>Data1!L6</f>
        <v>00000</v>
      </c>
      <c r="N8" t="str">
        <f>Data1!M6</f>
        <v>00</v>
      </c>
      <c r="P8" t="str">
        <f>Data1!N6</f>
        <v>1</v>
      </c>
      <c r="Q8" t="str">
        <f>Data1!O6</f>
        <v>00000</v>
      </c>
      <c r="R8" t="str">
        <f>Data1!P6</f>
        <v>02</v>
      </c>
      <c r="S8" t="str">
        <f>Data1!Q6</f>
        <v>02</v>
      </c>
      <c r="T8" t="str">
        <f>Data1!R6</f>
        <v>02</v>
      </c>
      <c r="U8" t="str">
        <f>Data1!S6</f>
        <v>0</v>
      </c>
      <c r="V8" t="str">
        <f>Data1!T6</f>
        <v>0</v>
      </c>
      <c r="W8" t="str">
        <f>Data1!U6</f>
        <v>00</v>
      </c>
    </row>
    <row r="9" spans="1:23" x14ac:dyDescent="0.25">
      <c r="A9" t="str">
        <f>Data1!A7</f>
        <v>[</v>
      </c>
      <c r="B9" t="str">
        <f>Data1!B7</f>
        <v>B</v>
      </c>
      <c r="D9" t="str">
        <f>Data1!C7</f>
        <v>20180525</v>
      </c>
      <c r="E9" t="str">
        <f>Data1!D7</f>
        <v>******</v>
      </c>
      <c r="F9" t="str">
        <f>Data1!E7</f>
        <v>***</v>
      </c>
      <c r="G9" t="str">
        <f>Data1!F7</f>
        <v>***</v>
      </c>
      <c r="H9" t="str">
        <f>Data1!G7</f>
        <v>*</v>
      </c>
      <c r="I9" t="str">
        <f>Data1!H7</f>
        <v>1</v>
      </c>
      <c r="J9" t="str">
        <f>Data1!I7</f>
        <v>0</v>
      </c>
      <c r="K9" t="str">
        <f>Data1!J7</f>
        <v>***</v>
      </c>
      <c r="L9" t="str">
        <f>Data1!K7</f>
        <v>***********</v>
      </c>
      <c r="M9" t="str">
        <f>Data1!L7</f>
        <v>00000</v>
      </c>
      <c r="N9" t="str">
        <f>Data1!M7</f>
        <v>00</v>
      </c>
      <c r="P9" t="str">
        <f>Data1!N7</f>
        <v>1</v>
      </c>
      <c r="Q9" t="str">
        <f>Data1!O7</f>
        <v>00000</v>
      </c>
      <c r="R9" t="str">
        <f>Data1!P7</f>
        <v>02</v>
      </c>
      <c r="S9" t="str">
        <f>Data1!Q7</f>
        <v>02</v>
      </c>
      <c r="T9" t="str">
        <f>Data1!R7</f>
        <v>02</v>
      </c>
      <c r="U9" t="str">
        <f>Data1!S7</f>
        <v>0</v>
      </c>
      <c r="V9" t="str">
        <f>Data1!T7</f>
        <v>0</v>
      </c>
      <c r="W9" t="str">
        <f>Data1!U7</f>
        <v>00</v>
      </c>
    </row>
    <row r="10" spans="1:23" x14ac:dyDescent="0.25">
      <c r="A10" t="str">
        <f>Data1!A8</f>
        <v>[</v>
      </c>
      <c r="B10" t="str">
        <f>Data1!B8</f>
        <v>B</v>
      </c>
      <c r="D10" t="str">
        <f>Data1!C8</f>
        <v>20180525</v>
      </c>
      <c r="E10" t="str">
        <f>Data1!D8</f>
        <v>******</v>
      </c>
      <c r="F10" t="str">
        <f>Data1!E8</f>
        <v>***</v>
      </c>
      <c r="G10" t="str">
        <f>Data1!F8</f>
        <v>***</v>
      </c>
      <c r="H10" t="str">
        <f>Data1!G8</f>
        <v>*</v>
      </c>
      <c r="I10" t="str">
        <f>Data1!H8</f>
        <v>1</v>
      </c>
      <c r="J10" t="str">
        <f>Data1!I8</f>
        <v>0</v>
      </c>
      <c r="K10" t="str">
        <f>Data1!J8</f>
        <v>***</v>
      </c>
      <c r="L10" t="str">
        <f>Data1!K8</f>
        <v>***********</v>
      </c>
      <c r="M10" t="str">
        <f>Data1!L8</f>
        <v>00000</v>
      </c>
      <c r="N10" t="str">
        <f>Data1!M8</f>
        <v>00</v>
      </c>
      <c r="P10" t="str">
        <f>Data1!N8</f>
        <v>1</v>
      </c>
      <c r="Q10" t="str">
        <f>Data1!O8</f>
        <v>00000</v>
      </c>
      <c r="R10" t="str">
        <f>Data1!P8</f>
        <v>02</v>
      </c>
      <c r="S10" t="str">
        <f>Data1!Q8</f>
        <v>02</v>
      </c>
      <c r="T10" t="str">
        <f>Data1!R8</f>
        <v>02</v>
      </c>
      <c r="U10" t="str">
        <f>Data1!S8</f>
        <v>0</v>
      </c>
      <c r="V10" t="str">
        <f>Data1!T8</f>
        <v>0</v>
      </c>
      <c r="W10" t="str">
        <f>Data1!U8</f>
        <v>00</v>
      </c>
    </row>
    <row r="11" spans="1:23" x14ac:dyDescent="0.25">
      <c r="A11" t="str">
        <f>Data1!A9</f>
        <v>[</v>
      </c>
      <c r="B11" t="str">
        <f>Data1!B9</f>
        <v>B</v>
      </c>
      <c r="D11" t="str">
        <f>Data1!C9</f>
        <v>20180525</v>
      </c>
      <c r="E11" t="str">
        <f>Data1!D9</f>
        <v>******</v>
      </c>
      <c r="F11" t="str">
        <f>Data1!E9</f>
        <v>***</v>
      </c>
      <c r="G11" t="str">
        <f>Data1!F9</f>
        <v>***</v>
      </c>
      <c r="H11" t="str">
        <f>Data1!G9</f>
        <v>*</v>
      </c>
      <c r="I11" t="str">
        <f>Data1!H9</f>
        <v>1</v>
      </c>
      <c r="J11" t="str">
        <f>Data1!I9</f>
        <v>0</v>
      </c>
      <c r="K11" t="str">
        <f>Data1!J9</f>
        <v>***</v>
      </c>
      <c r="L11" t="str">
        <f>Data1!K9</f>
        <v>***********</v>
      </c>
      <c r="M11" t="str">
        <f>Data1!L9</f>
        <v>00000</v>
      </c>
      <c r="N11" t="str">
        <f>Data1!M9</f>
        <v>00</v>
      </c>
      <c r="P11" t="str">
        <f>Data1!N9</f>
        <v>1</v>
      </c>
      <c r="Q11" t="str">
        <f>Data1!O9</f>
        <v>00000</v>
      </c>
      <c r="R11" t="str">
        <f>Data1!P9</f>
        <v>02</v>
      </c>
      <c r="S11" t="str">
        <f>Data1!Q9</f>
        <v>02</v>
      </c>
      <c r="T11" t="str">
        <f>Data1!R9</f>
        <v>02</v>
      </c>
      <c r="U11" t="str">
        <f>Data1!S9</f>
        <v>0</v>
      </c>
      <c r="V11" t="str">
        <f>Data1!T9</f>
        <v>0</v>
      </c>
      <c r="W11" t="str">
        <f>Data1!U9</f>
        <v>00</v>
      </c>
    </row>
    <row r="12" spans="1:23" x14ac:dyDescent="0.25">
      <c r="A12" t="str">
        <f>Data1!A10</f>
        <v>[</v>
      </c>
      <c r="B12" t="str">
        <f>Data1!B10</f>
        <v>B</v>
      </c>
      <c r="D12" t="str">
        <f>Data1!C10</f>
        <v>20180525</v>
      </c>
      <c r="E12" t="str">
        <f>Data1!D10</f>
        <v>******</v>
      </c>
      <c r="F12" t="str">
        <f>Data1!E10</f>
        <v>***</v>
      </c>
      <c r="G12" t="str">
        <f>Data1!F10</f>
        <v>***</v>
      </c>
      <c r="H12" t="str">
        <f>Data1!G10</f>
        <v>*</v>
      </c>
      <c r="I12" t="str">
        <f>Data1!H10</f>
        <v>1</v>
      </c>
      <c r="J12" t="str">
        <f>Data1!I10</f>
        <v>0</v>
      </c>
      <c r="K12" t="str">
        <f>Data1!J10</f>
        <v>***</v>
      </c>
      <c r="L12" t="str">
        <f>Data1!K10</f>
        <v>***********</v>
      </c>
      <c r="M12" t="str">
        <f>Data1!L10</f>
        <v>00000</v>
      </c>
      <c r="N12" t="str">
        <f>Data1!M10</f>
        <v>00</v>
      </c>
      <c r="P12" t="str">
        <f>Data1!N10</f>
        <v>1</v>
      </c>
      <c r="Q12" t="str">
        <f>Data1!O10</f>
        <v>00000</v>
      </c>
      <c r="R12" t="str">
        <f>Data1!P10</f>
        <v>02</v>
      </c>
      <c r="S12" t="str">
        <f>Data1!Q10</f>
        <v>02</v>
      </c>
      <c r="T12" t="str">
        <f>Data1!R10</f>
        <v>02</v>
      </c>
      <c r="U12" t="str">
        <f>Data1!S10</f>
        <v>0</v>
      </c>
      <c r="V12" t="str">
        <f>Data1!T10</f>
        <v>0</v>
      </c>
      <c r="W12" t="str">
        <f>Data1!U10</f>
        <v>00</v>
      </c>
    </row>
    <row r="13" spans="1:23" x14ac:dyDescent="0.25">
      <c r="A13" t="str">
        <f>Data1!A11</f>
        <v>[</v>
      </c>
      <c r="B13" t="str">
        <f>Data1!B11</f>
        <v>B</v>
      </c>
      <c r="D13" t="str">
        <f>Data1!C11</f>
        <v>20180525</v>
      </c>
      <c r="E13" t="str">
        <f>Data1!D11</f>
        <v>******</v>
      </c>
      <c r="F13" t="str">
        <f>Data1!E11</f>
        <v>***</v>
      </c>
      <c r="G13" t="str">
        <f>Data1!F11</f>
        <v>***</v>
      </c>
      <c r="H13" t="str">
        <f>Data1!G11</f>
        <v>*</v>
      </c>
      <c r="I13" t="str">
        <f>Data1!H11</f>
        <v>1</v>
      </c>
      <c r="J13" t="str">
        <f>Data1!I11</f>
        <v>0</v>
      </c>
      <c r="K13" t="str">
        <f>Data1!J11</f>
        <v>***</v>
      </c>
      <c r="L13" t="str">
        <f>Data1!K11</f>
        <v>***********</v>
      </c>
      <c r="M13" t="str">
        <f>Data1!L11</f>
        <v>00000</v>
      </c>
      <c r="N13" t="str">
        <f>Data1!M11</f>
        <v>00</v>
      </c>
      <c r="P13" t="str">
        <f>Data1!N11</f>
        <v>1</v>
      </c>
      <c r="Q13" t="str">
        <f>Data1!O11</f>
        <v>00000</v>
      </c>
      <c r="R13" t="str">
        <f>Data1!P11</f>
        <v>02</v>
      </c>
      <c r="S13" t="str">
        <f>Data1!Q11</f>
        <v>02</v>
      </c>
      <c r="T13" t="str">
        <f>Data1!R11</f>
        <v>02</v>
      </c>
      <c r="U13" t="str">
        <f>Data1!S11</f>
        <v>0</v>
      </c>
      <c r="V13" t="str">
        <f>Data1!T11</f>
        <v>0</v>
      </c>
      <c r="W13" t="str">
        <f>Data1!U11</f>
        <v>00</v>
      </c>
    </row>
    <row r="14" spans="1:23" x14ac:dyDescent="0.25">
      <c r="A14" t="str">
        <f>Data1!A12</f>
        <v>[</v>
      </c>
      <c r="B14" t="str">
        <f>Data1!B12</f>
        <v>B</v>
      </c>
      <c r="D14" t="str">
        <f>Data1!C12</f>
        <v>20180525</v>
      </c>
      <c r="E14" t="str">
        <f>Data1!D12</f>
        <v>******</v>
      </c>
      <c r="F14" t="str">
        <f>Data1!E12</f>
        <v>***</v>
      </c>
      <c r="G14" t="str">
        <f>Data1!F12</f>
        <v>***</v>
      </c>
      <c r="H14" t="str">
        <f>Data1!G12</f>
        <v>*</v>
      </c>
      <c r="I14" t="str">
        <f>Data1!H12</f>
        <v>1</v>
      </c>
      <c r="J14" t="str">
        <f>Data1!I12</f>
        <v>0</v>
      </c>
      <c r="K14" t="str">
        <f>Data1!J12</f>
        <v>***</v>
      </c>
      <c r="L14" t="str">
        <f>Data1!K12</f>
        <v>***********</v>
      </c>
      <c r="M14" t="str">
        <f>Data1!L12</f>
        <v>00000</v>
      </c>
      <c r="N14" t="str">
        <f>Data1!M12</f>
        <v>00</v>
      </c>
      <c r="P14" t="str">
        <f>Data1!N12</f>
        <v>1</v>
      </c>
      <c r="Q14" t="str">
        <f>Data1!O12</f>
        <v>00000</v>
      </c>
      <c r="R14" t="str">
        <f>Data1!P12</f>
        <v>02</v>
      </c>
      <c r="S14" t="str">
        <f>Data1!Q12</f>
        <v>02</v>
      </c>
      <c r="T14" t="str">
        <f>Data1!R12</f>
        <v>02</v>
      </c>
      <c r="U14" t="str">
        <f>Data1!S12</f>
        <v>0</v>
      </c>
      <c r="V14" t="str">
        <f>Data1!T12</f>
        <v>0</v>
      </c>
      <c r="W14" t="str">
        <f>Data1!U12</f>
        <v>00</v>
      </c>
    </row>
    <row r="15" spans="1:23" x14ac:dyDescent="0.25">
      <c r="A15" t="str">
        <f>Data1!A13</f>
        <v>[</v>
      </c>
      <c r="B15" t="str">
        <f>Data1!B13</f>
        <v>B</v>
      </c>
      <c r="D15" t="str">
        <f>Data1!C13</f>
        <v>20180525</v>
      </c>
      <c r="E15" t="str">
        <f>Data1!D13</f>
        <v>******</v>
      </c>
      <c r="F15" t="str">
        <f>Data1!E13</f>
        <v>***</v>
      </c>
      <c r="G15" t="str">
        <f>Data1!F13</f>
        <v>***</v>
      </c>
      <c r="H15" t="str">
        <f>Data1!G13</f>
        <v>*</v>
      </c>
      <c r="I15" t="str">
        <f>Data1!H13</f>
        <v>1</v>
      </c>
      <c r="J15" t="str">
        <f>Data1!I13</f>
        <v>0</v>
      </c>
      <c r="K15" t="str">
        <f>Data1!J13</f>
        <v>***</v>
      </c>
      <c r="L15" t="str">
        <f>Data1!K13</f>
        <v>***********</v>
      </c>
      <c r="M15" t="str">
        <f>Data1!L13</f>
        <v>00000</v>
      </c>
      <c r="N15" t="str">
        <f>Data1!M13</f>
        <v>00</v>
      </c>
      <c r="P15" t="str">
        <f>Data1!N13</f>
        <v>1</v>
      </c>
      <c r="Q15" t="str">
        <f>Data1!O13</f>
        <v>00000</v>
      </c>
      <c r="R15" t="str">
        <f>Data1!P13</f>
        <v>02</v>
      </c>
      <c r="S15" t="str">
        <f>Data1!Q13</f>
        <v>02</v>
      </c>
      <c r="T15" t="str">
        <f>Data1!R13</f>
        <v>02</v>
      </c>
      <c r="U15" t="str">
        <f>Data1!S13</f>
        <v>0</v>
      </c>
      <c r="V15" t="str">
        <f>Data1!T13</f>
        <v>0</v>
      </c>
      <c r="W15" t="str">
        <f>Data1!U13</f>
        <v>00</v>
      </c>
    </row>
    <row r="16" spans="1:23" x14ac:dyDescent="0.25">
      <c r="A16" t="str">
        <f>Data1!A14</f>
        <v>[</v>
      </c>
      <c r="B16" t="str">
        <f>Data1!B14</f>
        <v>B</v>
      </c>
      <c r="D16" t="str">
        <f>Data1!C14</f>
        <v>20180525</v>
      </c>
      <c r="E16" t="str">
        <f>Data1!D14</f>
        <v>******</v>
      </c>
      <c r="F16" t="str">
        <f>Data1!E14</f>
        <v>***</v>
      </c>
      <c r="G16" t="str">
        <f>Data1!F14</f>
        <v>***</v>
      </c>
      <c r="H16" t="str">
        <f>Data1!G14</f>
        <v>*</v>
      </c>
      <c r="I16" t="str">
        <f>Data1!H14</f>
        <v>1</v>
      </c>
      <c r="J16" t="str">
        <f>Data1!I14</f>
        <v>0</v>
      </c>
      <c r="K16" t="str">
        <f>Data1!J14</f>
        <v>***</v>
      </c>
      <c r="L16" t="str">
        <f>Data1!K14</f>
        <v>***********</v>
      </c>
      <c r="M16" t="str">
        <f>Data1!L14</f>
        <v>00000</v>
      </c>
      <c r="N16" t="str">
        <f>Data1!M14</f>
        <v>00</v>
      </c>
      <c r="P16" t="str">
        <f>Data1!N14</f>
        <v>1</v>
      </c>
      <c r="Q16" t="str">
        <f>Data1!O14</f>
        <v>00000</v>
      </c>
      <c r="R16" t="str">
        <f>Data1!P14</f>
        <v>02</v>
      </c>
      <c r="S16" t="str">
        <f>Data1!Q14</f>
        <v>02</v>
      </c>
      <c r="T16" t="str">
        <f>Data1!R14</f>
        <v>02</v>
      </c>
      <c r="U16" t="str">
        <f>Data1!S14</f>
        <v>0</v>
      </c>
      <c r="V16" t="str">
        <f>Data1!T14</f>
        <v>0</v>
      </c>
      <c r="W16" t="str">
        <f>Data1!U14</f>
        <v>00</v>
      </c>
    </row>
    <row r="17" spans="1:23" x14ac:dyDescent="0.25">
      <c r="A17" t="str">
        <f>Data1!A15</f>
        <v>[</v>
      </c>
      <c r="B17" t="str">
        <f>Data1!B15</f>
        <v>B</v>
      </c>
      <c r="D17" t="str">
        <f>Data1!C15</f>
        <v>20180525</v>
      </c>
      <c r="E17" t="str">
        <f>Data1!D15</f>
        <v>******</v>
      </c>
      <c r="F17" t="str">
        <f>Data1!E15</f>
        <v>***</v>
      </c>
      <c r="G17" t="str">
        <f>Data1!F15</f>
        <v>***</v>
      </c>
      <c r="H17" t="str">
        <f>Data1!G15</f>
        <v>*</v>
      </c>
      <c r="I17" t="str">
        <f>Data1!H15</f>
        <v>1</v>
      </c>
      <c r="J17" t="str">
        <f>Data1!I15</f>
        <v>0</v>
      </c>
      <c r="K17" t="str">
        <f>Data1!J15</f>
        <v>***</v>
      </c>
      <c r="L17" t="str">
        <f>Data1!K15</f>
        <v>***********</v>
      </c>
      <c r="M17" t="str">
        <f>Data1!L15</f>
        <v>00000</v>
      </c>
      <c r="N17" t="str">
        <f>Data1!M15</f>
        <v>00</v>
      </c>
      <c r="P17" t="str">
        <f>Data1!N15</f>
        <v>1</v>
      </c>
      <c r="Q17" t="str">
        <f>Data1!O15</f>
        <v>00000</v>
      </c>
      <c r="R17" t="str">
        <f>Data1!P15</f>
        <v>02</v>
      </c>
      <c r="S17" t="str">
        <f>Data1!Q15</f>
        <v>02</v>
      </c>
      <c r="T17" t="str">
        <f>Data1!R15</f>
        <v>02</v>
      </c>
      <c r="U17" t="str">
        <f>Data1!S15</f>
        <v>0</v>
      </c>
      <c r="V17" t="str">
        <f>Data1!T15</f>
        <v>0</v>
      </c>
      <c r="W17" t="str">
        <f>Data1!U15</f>
        <v>00</v>
      </c>
    </row>
    <row r="18" spans="1:23" x14ac:dyDescent="0.25">
      <c r="A18" t="str">
        <f>Data1!A16</f>
        <v>[</v>
      </c>
      <c r="B18" t="str">
        <f>Data1!B16</f>
        <v>B</v>
      </c>
      <c r="D18" t="str">
        <f>Data1!C16</f>
        <v>20180525</v>
      </c>
      <c r="E18" t="str">
        <f>Data1!D16</f>
        <v>******</v>
      </c>
      <c r="F18" t="str">
        <f>Data1!E16</f>
        <v>***</v>
      </c>
      <c r="G18" t="str">
        <f>Data1!F16</f>
        <v>***</v>
      </c>
      <c r="H18" t="str">
        <f>Data1!G16</f>
        <v>*</v>
      </c>
      <c r="I18" t="str">
        <f>Data1!H16</f>
        <v>1</v>
      </c>
      <c r="J18" t="str">
        <f>Data1!I16</f>
        <v>0</v>
      </c>
      <c r="K18" t="str">
        <f>Data1!J16</f>
        <v>***</v>
      </c>
      <c r="L18" t="str">
        <f>Data1!K16</f>
        <v>***********</v>
      </c>
      <c r="M18" t="str">
        <f>Data1!L16</f>
        <v>00000</v>
      </c>
      <c r="N18" t="str">
        <f>Data1!M16</f>
        <v>00</v>
      </c>
      <c r="P18" t="str">
        <f>Data1!N16</f>
        <v>1</v>
      </c>
      <c r="Q18" t="str">
        <f>Data1!O16</f>
        <v>00000</v>
      </c>
      <c r="R18" t="str">
        <f>Data1!P16</f>
        <v>02</v>
      </c>
      <c r="S18" t="str">
        <f>Data1!Q16</f>
        <v>02</v>
      </c>
      <c r="T18" t="str">
        <f>Data1!R16</f>
        <v>02</v>
      </c>
      <c r="U18" t="str">
        <f>Data1!S16</f>
        <v>0</v>
      </c>
      <c r="V18" t="str">
        <f>Data1!T16</f>
        <v>0</v>
      </c>
      <c r="W18" t="str">
        <f>Data1!U16</f>
        <v>00</v>
      </c>
    </row>
    <row r="19" spans="1:23" x14ac:dyDescent="0.25">
      <c r="A19" t="str">
        <f>Data1!A17</f>
        <v>[</v>
      </c>
      <c r="B19" t="str">
        <f>Data1!B17</f>
        <v>B</v>
      </c>
      <c r="D19" t="str">
        <f>Data1!C17</f>
        <v>20180525</v>
      </c>
      <c r="E19" t="str">
        <f>Data1!D17</f>
        <v>******</v>
      </c>
      <c r="F19" t="str">
        <f>Data1!E17</f>
        <v>***</v>
      </c>
      <c r="G19" t="str">
        <f>Data1!F17</f>
        <v>***</v>
      </c>
      <c r="H19" t="str">
        <f>Data1!G17</f>
        <v>*</v>
      </c>
      <c r="I19" t="str">
        <f>Data1!H17</f>
        <v>1</v>
      </c>
      <c r="J19" t="str">
        <f>Data1!I17</f>
        <v>0</v>
      </c>
      <c r="K19" t="str">
        <f>Data1!J17</f>
        <v>***</v>
      </c>
      <c r="L19" t="str">
        <f>Data1!K17</f>
        <v>***********</v>
      </c>
      <c r="M19" t="str">
        <f>Data1!L17</f>
        <v>00000</v>
      </c>
      <c r="N19" t="str">
        <f>Data1!M17</f>
        <v>00</v>
      </c>
      <c r="P19" t="str">
        <f>Data1!N17</f>
        <v>1</v>
      </c>
      <c r="Q19" t="str">
        <f>Data1!O17</f>
        <v>00000</v>
      </c>
      <c r="R19" t="str">
        <f>Data1!P17</f>
        <v>02</v>
      </c>
      <c r="S19" t="str">
        <f>Data1!Q17</f>
        <v>02</v>
      </c>
      <c r="T19" t="str">
        <f>Data1!R17</f>
        <v>02</v>
      </c>
      <c r="U19" t="str">
        <f>Data1!S17</f>
        <v>0</v>
      </c>
      <c r="V19" t="str">
        <f>Data1!T17</f>
        <v>0</v>
      </c>
      <c r="W19" t="str">
        <f>Data1!U17</f>
        <v>00</v>
      </c>
    </row>
    <row r="20" spans="1:23" x14ac:dyDescent="0.25">
      <c r="A20" t="str">
        <f>Data1!A18</f>
        <v>[</v>
      </c>
      <c r="B20" t="str">
        <f>Data1!B18</f>
        <v>B</v>
      </c>
      <c r="D20" t="str">
        <f>Data1!C18</f>
        <v>20180525</v>
      </c>
      <c r="E20" t="str">
        <f>Data1!D18</f>
        <v>******</v>
      </c>
      <c r="F20" t="str">
        <f>Data1!E18</f>
        <v>***</v>
      </c>
      <c r="G20" t="str">
        <f>Data1!F18</f>
        <v>***</v>
      </c>
      <c r="H20" t="str">
        <f>Data1!G18</f>
        <v>*</v>
      </c>
      <c r="I20" t="str">
        <f>Data1!H18</f>
        <v>1</v>
      </c>
      <c r="J20" t="str">
        <f>Data1!I18</f>
        <v>0</v>
      </c>
      <c r="K20" t="str">
        <f>Data1!J18</f>
        <v>***</v>
      </c>
      <c r="L20" t="str">
        <f>Data1!K18</f>
        <v>***********</v>
      </c>
      <c r="M20" t="str">
        <f>Data1!L18</f>
        <v>00000</v>
      </c>
      <c r="N20" t="str">
        <f>Data1!M18</f>
        <v>00</v>
      </c>
      <c r="P20" t="str">
        <f>Data1!N18</f>
        <v>1</v>
      </c>
      <c r="Q20" t="str">
        <f>Data1!O18</f>
        <v>00000</v>
      </c>
      <c r="R20" t="str">
        <f>Data1!P18</f>
        <v>02</v>
      </c>
      <c r="S20" t="str">
        <f>Data1!Q18</f>
        <v>02</v>
      </c>
      <c r="T20" t="str">
        <f>Data1!R18</f>
        <v>02</v>
      </c>
      <c r="U20" t="str">
        <f>Data1!S18</f>
        <v>0</v>
      </c>
      <c r="V20" t="str">
        <f>Data1!T18</f>
        <v>0</v>
      </c>
      <c r="W20" t="str">
        <f>Data1!U18</f>
        <v>00</v>
      </c>
    </row>
    <row r="21" spans="1:23" x14ac:dyDescent="0.25">
      <c r="A21" t="str">
        <f>Data1!A19</f>
        <v>[</v>
      </c>
      <c r="B21" t="str">
        <f>Data1!B19</f>
        <v>B</v>
      </c>
      <c r="D21" t="str">
        <f>Data1!C19</f>
        <v>20180525</v>
      </c>
      <c r="E21" t="str">
        <f>Data1!D19</f>
        <v>******</v>
      </c>
      <c r="F21" t="str">
        <f>Data1!E19</f>
        <v>***</v>
      </c>
      <c r="G21" t="str">
        <f>Data1!F19</f>
        <v>***</v>
      </c>
      <c r="H21" t="str">
        <f>Data1!G19</f>
        <v>*</v>
      </c>
      <c r="I21" t="str">
        <f>Data1!H19</f>
        <v>1</v>
      </c>
      <c r="J21" t="str">
        <f>Data1!I19</f>
        <v>0</v>
      </c>
      <c r="K21" t="str">
        <f>Data1!J19</f>
        <v>***</v>
      </c>
      <c r="L21" t="str">
        <f>Data1!K19</f>
        <v>***********</v>
      </c>
      <c r="M21" t="str">
        <f>Data1!L19</f>
        <v>00000</v>
      </c>
      <c r="N21" t="str">
        <f>Data1!M19</f>
        <v>00</v>
      </c>
      <c r="P21" t="str">
        <f>Data1!N19</f>
        <v>1</v>
      </c>
      <c r="Q21" t="str">
        <f>Data1!O19</f>
        <v>00000</v>
      </c>
      <c r="R21" t="str">
        <f>Data1!P19</f>
        <v>02</v>
      </c>
      <c r="S21" t="str">
        <f>Data1!Q19</f>
        <v>02</v>
      </c>
      <c r="T21" t="str">
        <f>Data1!R19</f>
        <v>02</v>
      </c>
      <c r="U21" t="str">
        <f>Data1!S19</f>
        <v>0</v>
      </c>
      <c r="V21" t="str">
        <f>Data1!T19</f>
        <v>0</v>
      </c>
      <c r="W21" t="str">
        <f>Data1!U19</f>
        <v>00</v>
      </c>
    </row>
    <row r="22" spans="1:23" x14ac:dyDescent="0.25">
      <c r="A22" t="str">
        <f>Data1!A20</f>
        <v>[</v>
      </c>
      <c r="B22" t="str">
        <f>Data1!B20</f>
        <v>B</v>
      </c>
      <c r="D22" t="str">
        <f>Data1!C20</f>
        <v>20180525</v>
      </c>
      <c r="E22" t="str">
        <f>Data1!D20</f>
        <v>******</v>
      </c>
      <c r="F22" t="str">
        <f>Data1!E20</f>
        <v>***</v>
      </c>
      <c r="G22" t="str">
        <f>Data1!F20</f>
        <v>***</v>
      </c>
      <c r="H22" t="str">
        <f>Data1!G20</f>
        <v>*</v>
      </c>
      <c r="I22" t="str">
        <f>Data1!H20</f>
        <v>1</v>
      </c>
      <c r="J22" t="str">
        <f>Data1!I20</f>
        <v>0</v>
      </c>
      <c r="K22" t="str">
        <f>Data1!J20</f>
        <v>***</v>
      </c>
      <c r="L22" t="str">
        <f>Data1!K20</f>
        <v>***********</v>
      </c>
      <c r="M22" t="str">
        <f>Data1!L20</f>
        <v>00000</v>
      </c>
      <c r="N22" t="str">
        <f>Data1!M20</f>
        <v>00</v>
      </c>
      <c r="P22" t="str">
        <f>Data1!N20</f>
        <v>1</v>
      </c>
      <c r="Q22" t="str">
        <f>Data1!O20</f>
        <v>00000</v>
      </c>
      <c r="R22" t="str">
        <f>Data1!P20</f>
        <v>02</v>
      </c>
      <c r="S22" t="str">
        <f>Data1!Q20</f>
        <v>02</v>
      </c>
      <c r="T22" t="str">
        <f>Data1!R20</f>
        <v>02</v>
      </c>
      <c r="U22" t="str">
        <f>Data1!S20</f>
        <v>0</v>
      </c>
      <c r="V22" t="str">
        <f>Data1!T20</f>
        <v>0</v>
      </c>
      <c r="W22" t="str">
        <f>Data1!U20</f>
        <v>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Revision</vt:lpstr>
      <vt:lpstr>Help</vt:lpstr>
      <vt:lpstr>Inputs</vt:lpstr>
      <vt:lpstr>Data1</vt:lpstr>
      <vt:lpstr>Data2</vt:lpstr>
      <vt:lpstr>Temp</vt:lpstr>
      <vt:lpstr>Correction</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30111292</dc:creator>
  <cp:lastModifiedBy>Sandeep S. Kudva</cp:lastModifiedBy>
  <dcterms:created xsi:type="dcterms:W3CDTF">2012-08-21T09:17:55Z</dcterms:created>
  <dcterms:modified xsi:type="dcterms:W3CDTF">2018-06-07T08:57:09Z</dcterms:modified>
</cp:coreProperties>
</file>