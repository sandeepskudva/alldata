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TSG\Workspace\File creation\Input\GSP\Violation File\"/>
    </mc:Choice>
  </mc:AlternateContent>
  <bookViews>
    <workbookView xWindow="480" yWindow="1110" windowWidth="18720" windowHeight="6675" activeTab="2"/>
  </bookViews>
  <sheets>
    <sheet name="Revision" sheetId="10" r:id="rId1"/>
    <sheet name="Help" sheetId="3" r:id="rId2"/>
    <sheet name="Inputs" sheetId="2" r:id="rId3"/>
    <sheet name="Data1" sheetId="6" r:id="rId4"/>
    <sheet name="Data2" sheetId="7" r:id="rId5"/>
    <sheet name="Temp" sheetId="8" r:id="rId6"/>
    <sheet name="Correction" sheetId="9" r:id="rId7"/>
  </sheets>
  <functionGroups builtInGroupCount="18"/>
  <definedNames>
    <definedName name="_xlnm._FilterDatabase" localSheetId="3" hidden="1">Data1!$A$1:$U$427</definedName>
    <definedName name="_xlnm._FilterDatabase" localSheetId="5" hidden="1">Temp!$A$1:$A$47</definedName>
    <definedName name="Number_of_Fields">Inputs!$G$16</definedName>
  </definedNames>
  <calcPr calcId="162913"/>
</workbook>
</file>

<file path=xl/calcChain.xml><?xml version="1.0" encoding="utf-8"?>
<calcChain xmlns="http://schemas.openxmlformats.org/spreadsheetml/2006/main">
  <c r="BQ26" i="2" l="1"/>
  <c r="BQ27" i="2"/>
  <c r="BQ28" i="2"/>
  <c r="BQ29" i="2"/>
  <c r="BQ30" i="2"/>
  <c r="BQ31" i="2" l="1"/>
  <c r="BQ32" i="2"/>
  <c r="BQ33" i="2"/>
  <c r="BQ34" i="2"/>
  <c r="BQ35" i="2"/>
  <c r="BQ36" i="2"/>
  <c r="BQ37" i="2"/>
  <c r="BQ38" i="2"/>
  <c r="BQ39" i="2"/>
  <c r="BQ40" i="2"/>
  <c r="BQ41" i="2"/>
  <c r="BQ25" i="2"/>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shapeId="0">
      <text>
        <r>
          <rPr>
            <b/>
            <sz val="9"/>
            <color indexed="81"/>
            <rFont val="Tahoma"/>
            <family val="2"/>
          </rPr>
          <t>Macro supports upto 50 inputs from column L;</t>
        </r>
        <r>
          <rPr>
            <sz val="9"/>
            <color indexed="81"/>
            <rFont val="Tahoma"/>
            <family val="2"/>
          </rPr>
          <t xml:space="preserve">
Column L to BI</t>
        </r>
      </text>
    </comment>
    <comment ref="D2" authorId="0" shape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shape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<sst xmlns="http://schemas.openxmlformats.org/spreadsheetml/2006/main" count="560" uniqueCount="191">
  <si>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</si>
  <si>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</si>
  <si>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</si>
  <si>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</si>
  <si>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</si>
  <si>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</si>
  <si>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</si>
  <si>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</si>
  <si>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</si>
  <si>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</si>
  <si>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</si>
  <si>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</si>
  <si>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</si>
  <si>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</si>
  <si>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</si>
  <si>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</si>
  <si>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</si>
  <si>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</si>
  <si>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</si>
  <si>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</si>
  <si>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</si>
  <si>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</si>
  <si>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</si>
  <si>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</si>
  <si>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</si>
  <si>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</si>
  <si>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</si>
  <si>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</si>
  <si>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</si>
  <si>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</si>
  <si>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</si>
  <si>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</si>
  <si>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</si>
  <si>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</si>
  <si>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</si>
  <si>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</si>
  <si>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</si>
  <si>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</si>
  <si>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</si>
  <si>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</si>
  <si>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</si>
  <si>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</si>
  <si>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</si>
  <si>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</si>
  <si>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</si>
  <si>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</si>
  <si>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</si>
  <si>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</si>
  <si>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</si>
  <si>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</si>
  <si>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</si>
  <si>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</si>
  <si>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</si>
  <si>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</si>
  <si>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</si>
  <si>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</si>
  <si>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</si>
  <si>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</si>
  <si>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</si>
  <si>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</si>
  <si>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</si>
  <si>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</si>
  <si>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</si>
  <si>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</si>
  <si>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</si>
  <si>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</si>
  <si>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</si>
  <si>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</si>
  <si>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</si>
  <si>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</si>
  <si>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</si>
  <si>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</si>
  <si>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</si>
  <si>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</si>
  <si>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</si>
  <si>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</si>
  <si>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</si>
  <si>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</si>
  <si>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</si>
  <si>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</si>
  <si>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</si>
  <si>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</si>
  <si>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</si>
  <si>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</si>
  <si>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</si>
  <si>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</si>
  <si>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</si>
  <si>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</si>
  <si>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</si>
  <si>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</si>
  <si>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</si>
  <si>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</si>
  <si>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</si>
  <si>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</si>
  <si>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</si>
  <si>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</si>
  <si>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</si>
  <si>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</si>
  <si>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</si>
  <si>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</si>
  <si>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</si>
  <si>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</si>
  <si>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</si>
  <si>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</si>
  <si>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</si>
  <si>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</si>
  <si>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</si>
  <si>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</si>
  <si>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</si>
  <si>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</si>
  <si>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</si>
  <si>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</si>
  <si>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</si>
  <si>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</si>
  <si>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</si>
  <si>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</si>
  <si>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</si>
  <si>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</si>
  <si>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</si>
  <si>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</si>
  <si>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</si>
  <si>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</si>
  <si>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</si>
  <si>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</si>
  <si>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</si>
  <si>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</si>
  <si>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</si>
  <si>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</si>
  <si>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</si>
  <si>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</si>
  <si>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</si>
  <si>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</si>
  <si>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</si>
  <si>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</si>
  <si>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</si>
  <si>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</si>
  <si>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</si>
  <si>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</si>
  <si>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</si>
  <si>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</si>
  <si>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</si>
  <si>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</si>
  <si>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</si>
  <si>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</si>
  <si>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</si>
  <si>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</si>
  <si>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</si>
  <si>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</si>
  <si>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</si>
  <si>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</si>
  <si>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</si>
  <si>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</si>
  <si>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Exit_PLAZA_id</t>
  </si>
  <si>
    <t>18</t>
  </si>
  <si>
    <t>Exit_LANE_ID</t>
  </si>
  <si>
    <t>****</t>
  </si>
  <si>
    <t>Fare_axles</t>
  </si>
  <si>
    <t>BP</t>
  </si>
  <si>
    <t>BT</t>
  </si>
  <si>
    <t>00846719</t>
  </si>
  <si>
    <t>00052541</t>
  </si>
  <si>
    <t>00846720</t>
  </si>
  <si>
    <t>00052542</t>
  </si>
  <si>
    <t>00846721</t>
  </si>
  <si>
    <t>00052543</t>
  </si>
  <si>
    <t>000483631211</t>
  </si>
  <si>
    <t>000483631212</t>
  </si>
  <si>
    <t>000483631213</t>
  </si>
  <si>
    <t>06100000</t>
  </si>
  <si>
    <t>10n</t>
  </si>
  <si>
    <t>01</t>
  </si>
  <si>
    <t>022</t>
  </si>
  <si>
    <t>0001</t>
  </si>
  <si>
    <t>0002</t>
  </si>
  <si>
    <t>0007</t>
  </si>
  <si>
    <t>003.00</t>
  </si>
  <si>
    <t>20200520</t>
  </si>
  <si>
    <t>20200521</t>
  </si>
  <si>
    <t>20200522</t>
  </si>
  <si>
    <t>07100000</t>
  </si>
  <si>
    <t>08100000</t>
  </si>
  <si>
    <t>012</t>
  </si>
  <si>
    <t>07339531</t>
  </si>
  <si>
    <t>008</t>
  </si>
  <si>
    <t>00829402</t>
  </si>
  <si>
    <t>6</t>
  </si>
  <si>
    <t>2020052006000000</t>
  </si>
  <si>
    <t>2020052107000000</t>
  </si>
  <si>
    <t>2020052208000000</t>
  </si>
  <si>
    <t>3</t>
  </si>
  <si>
    <t>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</si>
</sst>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6" formatCode="&quot;$&quot;#,##0_);[Red]\(&quot;$&quot;#,##0\)"/>
  </numFmts>
  <fonts count="7"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
    <xf numFmtId="0" fontId="0" fillId="0" borderId="0"/>
  </cellStyleXfs>
  <cellXfs count="51">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7" borderId="1" xfId="0" quotePrefix="1" applyFill="1" applyBorder="1" applyAlignment="1">
      <alignment horizontal="center"/>
    </xf>
    <xf numFmtId="0" fontId="0" fillId="7" borderId="4" xfId="0" quotePrefix="1" applyFill="1" applyBorder="1" applyAlignment="1">
      <alignment horizontal="center"/>
    </xf>
    <xf numFmtId="0" fontId="0" fillId="4" borderId="1" xfId="0" quotePrefix="1" applyFill="1" applyBorder="1" applyAlignment="1">
      <alignment horizontal="center" wrapText="1"/>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X79"/>
  <sheetViews>
    <sheetView tabSelected="1" topLeftCell="D1" workbookViewId="0">
      <selection activeCell="J16" sqref="J16"/>
    </sheetView>
  </sheetViews>
  <sheetFormatPr defaultRowHeight="15" x14ac:dyDescent="0.25"/>
  <cols>
    <col min="2" max="2" width="41.42578125" style="2" customWidth="1"/>
    <col min="3" max="3" width="20.140625" style="3" customWidth="1"/>
    <col min="4" max="4" width="20.85546875" style="2" bestFit="1" customWidth="1"/>
    <col min="5" max="5" width="12.85546875" style="3" customWidth="1"/>
    <col min="6" max="6" width="16.85546875" style="3" customWidth="1"/>
    <col min="7" max="8" width="14.140625" style="3" customWidth="1"/>
    <col min="9" max="9" width="14.140625" customWidth="1"/>
    <col min="10" max="10" width="9.7109375" bestFit="1" customWidth="1"/>
    <col min="11" max="13" width="19" customWidth="1"/>
    <col min="14" max="14" width="20.7109375" style="3" customWidth="1"/>
    <col min="15" max="15" width="12.7109375" style="3" bestFit="1" customWidth="1"/>
    <col min="16" max="16" width="23.5703125" style="3" bestFit="1" customWidth="1"/>
    <col min="17" max="17" width="24.28515625" style="3" customWidth="1"/>
    <col min="18" max="19" width="26" style="3" customWidth="1"/>
    <col min="20" max="20" width="20.7109375" style="3" customWidth="1"/>
    <col min="21" max="21" width="20.42578125" style="3" customWidth="1"/>
    <col min="22" max="23" width="19.42578125" style="3" customWidth="1"/>
    <col min="24" max="24" width="18.28515625" style="3" customWidth="1"/>
    <col min="25" max="25" width="17.28515625" style="3" customWidth="1"/>
    <col min="26" max="26" width="20.28515625" style="3" customWidth="1"/>
    <col min="27" max="27" width="15.85546875" style="3" bestFit="1" customWidth="1"/>
    <col min="28" max="28" width="9.85546875" style="3" bestFit="1" customWidth="1"/>
    <col min="29" max="29" width="18.5703125" style="3" customWidth="1"/>
    <col min="30" max="30" width="13.7109375" style="3" bestFit="1" customWidth="1"/>
    <col min="31" max="31" width="9.85546875" style="3" customWidth="1"/>
    <col min="32" max="32" width="17.85546875" style="3" bestFit="1" customWidth="1"/>
    <col min="33" max="33" width="33.85546875" style="3" bestFit="1" customWidth="1"/>
    <col min="34" max="34" width="17.85546875" style="3" customWidth="1"/>
    <col min="35" max="35" width="14.7109375" style="3" customWidth="1"/>
    <col min="36" max="36" width="9.140625" customWidth="1"/>
    <col min="37" max="37" width="18.7109375" bestFit="1" customWidth="1"/>
    <col min="38" max="38" width="33.85546875" bestFit="1" customWidth="1"/>
    <col min="39" max="39" width="17.7109375" bestFit="1" customWidth="1"/>
    <col min="40" max="40" width="9.85546875" bestFit="1" customWidth="1"/>
    <col min="41" max="41" width="9.140625" customWidth="1"/>
    <col min="42" max="67" width="9.140625" hidden="1" customWidth="1"/>
    <col min="68" max="68" width="11.140625" customWidth="1"/>
    <col min="69" max="69" width="12.28515625" customWidth="1"/>
    <col min="70" max="70" width="12.42578125" customWidth="1"/>
    <col min="72" max="72" width="11.85546875" customWidth="1"/>
    <col min="73" max="73" width="13.7109375" customWidth="1"/>
    <col min="76" max="76" width="9.7109375" bestFit="1" customWidth="1"/>
  </cols>
  <sheetData>
    <row r="1" spans="1:76" x14ac:dyDescent="0.25">
      <c r="B1" s="49" t="s">
        <v>10</v>
      </c>
      <c r="C1" s="49"/>
      <c r="D1" s="49"/>
      <c r="E1" s="49"/>
      <c r="F1" s="50"/>
      <c r="G1" s="7"/>
      <c r="H1" s="7"/>
      <c r="K1" s="8" t="s">
        <v>14</v>
      </c>
      <c r="L1" s="10" t="s">
        <v>12</v>
      </c>
      <c r="M1" s="13" t="s">
        <v>94</v>
      </c>
      <c r="N1" s="13" t="s">
        <v>152</v>
      </c>
      <c r="O1" s="13" t="s">
        <v>154</v>
      </c>
      <c r="P1" s="13" t="s">
        <v>96</v>
      </c>
      <c r="Q1" s="13" t="s">
        <v>102</v>
      </c>
      <c r="R1" s="13" t="s">
        <v>103</v>
      </c>
      <c r="S1" s="13" t="s">
        <v>104</v>
      </c>
      <c r="T1" s="13" t="s">
        <v>105</v>
      </c>
      <c r="U1" s="13" t="s">
        <v>106</v>
      </c>
      <c r="V1" s="12" t="s">
        <v>109</v>
      </c>
      <c r="W1" s="12" t="s">
        <v>110</v>
      </c>
      <c r="X1" s="13" t="s">
        <v>112</v>
      </c>
      <c r="Y1" s="13" t="s">
        <v>113</v>
      </c>
      <c r="Z1" s="13" t="s">
        <v>114</v>
      </c>
      <c r="AA1" s="12" t="s">
        <v>115</v>
      </c>
      <c r="AB1" s="12" t="s">
        <v>116</v>
      </c>
      <c r="AC1" s="12" t="s">
        <v>117</v>
      </c>
      <c r="AD1" s="12" t="s">
        <v>119</v>
      </c>
      <c r="AE1" s="12" t="s">
        <v>120</v>
      </c>
      <c r="AF1" s="12" t="s">
        <v>156</v>
      </c>
      <c r="AG1" s="13" t="s">
        <v>133</v>
      </c>
      <c r="AH1" s="13" t="s">
        <v>134</v>
      </c>
      <c r="AI1" s="12" t="s">
        <v>143</v>
      </c>
      <c r="AJ1" s="12" t="s">
        <v>144</v>
      </c>
      <c r="AK1" s="12" t="s">
        <v>146</v>
      </c>
      <c r="AL1" s="13" t="s">
        <v>147</v>
      </c>
      <c r="AM1" s="12" t="s">
        <v>148</v>
      </c>
      <c r="AN1" s="12" t="s">
        <v>149</v>
      </c>
      <c r="AO1" s="13"/>
      <c r="AP1" s="13"/>
      <c r="AQ1" s="13"/>
      <c r="AR1" s="13"/>
      <c r="AS1" s="13"/>
      <c r="AT1" s="13"/>
      <c r="AU1" s="13"/>
      <c r="AV1" s="13"/>
      <c r="AW1" s="13"/>
      <c r="AX1" s="13"/>
      <c r="AY1" s="13"/>
      <c r="AZ1" s="13"/>
      <c r="BA1" s="13"/>
      <c r="BB1" s="13"/>
      <c r="BC1" s="13"/>
      <c r="BP1" s="7" t="s">
        <v>17</v>
      </c>
      <c r="BQ1" s="7" t="s">
        <v>23</v>
      </c>
      <c r="BR1" s="7" t="s">
        <v>26</v>
      </c>
      <c r="BT1" s="28" t="s">
        <v>17</v>
      </c>
      <c r="BU1" s="28" t="s">
        <v>23</v>
      </c>
      <c r="BV1" s="28" t="s">
        <v>26</v>
      </c>
    </row>
    <row r="2" spans="1:76"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23</v>
      </c>
      <c r="AD2" s="13">
        <v>24</v>
      </c>
      <c r="AE2" s="13">
        <v>25</v>
      </c>
      <c r="AF2" s="13">
        <v>29</v>
      </c>
      <c r="AG2" s="13">
        <v>36</v>
      </c>
      <c r="AH2" s="13">
        <v>37</v>
      </c>
      <c r="AI2" s="13">
        <v>31</v>
      </c>
      <c r="AJ2" s="13">
        <v>35</v>
      </c>
      <c r="AK2" s="13">
        <v>39</v>
      </c>
      <c r="AL2" s="13">
        <v>44</v>
      </c>
      <c r="AM2" s="13">
        <v>45</v>
      </c>
      <c r="AN2" s="13">
        <v>46</v>
      </c>
      <c r="AO2" s="13"/>
      <c r="AP2" s="13"/>
      <c r="AQ2" s="13"/>
      <c r="AR2" s="13"/>
      <c r="AS2" s="13"/>
      <c r="AT2" s="13"/>
      <c r="AU2" s="13"/>
      <c r="AV2" s="13"/>
      <c r="AW2" s="13"/>
      <c r="AX2" s="13"/>
      <c r="AY2" s="13"/>
      <c r="AZ2" s="13"/>
      <c r="BA2" s="13"/>
      <c r="BB2" s="13"/>
      <c r="BC2" s="13"/>
      <c r="BP2" s="10"/>
      <c r="BQ2" s="10"/>
      <c r="BR2" s="10"/>
      <c r="BT2" s="28"/>
      <c r="BU2" s="28"/>
      <c r="BV2" s="28"/>
    </row>
    <row r="3" spans="1:76" x14ac:dyDescent="0.25">
      <c r="A3" s="7">
        <v>1</v>
      </c>
      <c r="B3" s="12" t="s">
        <v>95</v>
      </c>
      <c r="C3" s="13">
        <v>4</v>
      </c>
      <c r="D3" s="17"/>
      <c r="E3" s="15">
        <v>483631210</v>
      </c>
      <c r="F3" s="13">
        <v>1</v>
      </c>
      <c r="G3" s="13">
        <v>12</v>
      </c>
      <c r="H3" s="13">
        <v>0</v>
      </c>
      <c r="K3" s="9" t="s">
        <v>16</v>
      </c>
      <c r="L3" s="10" t="s">
        <v>20</v>
      </c>
      <c r="M3" s="13"/>
      <c r="N3" s="13"/>
      <c r="O3" s="13"/>
      <c r="P3" s="41" t="s">
        <v>97</v>
      </c>
      <c r="Q3" s="13"/>
      <c r="R3" s="22"/>
      <c r="S3" s="41" t="s">
        <v>97</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P3" s="7" t="s">
        <v>22</v>
      </c>
      <c r="BQ3" s="7" t="s">
        <v>24</v>
      </c>
      <c r="BR3" s="7" t="s">
        <v>25</v>
      </c>
      <c r="BT3" s="28" t="s">
        <v>22</v>
      </c>
      <c r="BU3" s="28" t="s">
        <v>24</v>
      </c>
      <c r="BV3" s="28" t="s">
        <v>25</v>
      </c>
    </row>
    <row r="4" spans="1:76" x14ac:dyDescent="0.25">
      <c r="A4" s="7">
        <v>2</v>
      </c>
      <c r="B4" s="12" t="s">
        <v>100</v>
      </c>
      <c r="C4" s="13">
        <v>9</v>
      </c>
      <c r="D4" s="12"/>
      <c r="E4" s="15">
        <v>846718</v>
      </c>
      <c r="F4" s="13">
        <v>1</v>
      </c>
      <c r="G4" s="13">
        <v>8</v>
      </c>
      <c r="H4" s="13">
        <v>0</v>
      </c>
      <c r="I4" s="39"/>
      <c r="J4" s="39"/>
      <c r="L4" s="46">
        <v>1</v>
      </c>
      <c r="M4" s="21">
        <v>6</v>
      </c>
      <c r="N4" s="18" t="s">
        <v>172</v>
      </c>
      <c r="O4" s="18" t="s">
        <v>169</v>
      </c>
      <c r="P4" s="18" t="s">
        <v>158</v>
      </c>
      <c r="Q4" s="18" t="s">
        <v>155</v>
      </c>
      <c r="R4" s="18" t="s">
        <v>132</v>
      </c>
      <c r="S4" s="18" t="s">
        <v>157</v>
      </c>
      <c r="T4" s="18" t="s">
        <v>107</v>
      </c>
      <c r="U4" s="18" t="s">
        <v>108</v>
      </c>
      <c r="V4" s="18" t="s">
        <v>111</v>
      </c>
      <c r="W4" s="18" t="s">
        <v>111</v>
      </c>
      <c r="X4" s="18" t="s">
        <v>175</v>
      </c>
      <c r="Y4" s="18" t="s">
        <v>175</v>
      </c>
      <c r="Z4" s="18" t="s">
        <v>175</v>
      </c>
      <c r="AA4" s="18" t="s">
        <v>170</v>
      </c>
      <c r="AB4" s="18" t="s">
        <v>170</v>
      </c>
      <c r="AC4" s="18" t="s">
        <v>170</v>
      </c>
      <c r="AD4" s="18" t="s">
        <v>125</v>
      </c>
      <c r="AE4" s="18" t="s">
        <v>170</v>
      </c>
      <c r="AF4" s="18" t="s">
        <v>126</v>
      </c>
      <c r="AG4" s="18" t="s">
        <v>132</v>
      </c>
      <c r="AH4" s="47" t="s">
        <v>129</v>
      </c>
      <c r="AI4" s="18" t="s">
        <v>118</v>
      </c>
      <c r="AJ4" s="18" t="s">
        <v>145</v>
      </c>
      <c r="AK4" s="18">
        <v>1</v>
      </c>
      <c r="AL4" s="18" t="s">
        <v>150</v>
      </c>
      <c r="AM4" s="18" t="s">
        <v>151</v>
      </c>
      <c r="AN4" s="18" t="s">
        <v>136</v>
      </c>
      <c r="AO4" s="42"/>
      <c r="AP4" s="42"/>
      <c r="AQ4" s="42"/>
      <c r="AR4" s="42"/>
      <c r="AS4" s="42"/>
      <c r="AT4" s="42"/>
      <c r="AU4" s="42"/>
      <c r="AV4" s="42"/>
      <c r="AW4" s="42"/>
      <c r="AX4" s="42"/>
      <c r="AY4" s="42"/>
      <c r="AZ4" s="42"/>
      <c r="BA4" s="42"/>
      <c r="BB4" s="42"/>
      <c r="BC4" s="42"/>
      <c r="BD4" s="19"/>
      <c r="BE4" s="19"/>
      <c r="BF4" s="19"/>
      <c r="BG4" s="19"/>
      <c r="BH4" s="19"/>
      <c r="BI4" s="19"/>
      <c r="BJ4" s="19"/>
      <c r="BK4" s="19"/>
      <c r="BL4" s="19"/>
      <c r="BM4" s="19"/>
      <c r="BN4" s="19"/>
      <c r="BO4" s="19"/>
      <c r="BP4" s="45" t="s">
        <v>176</v>
      </c>
      <c r="BQ4" s="45" t="s">
        <v>168</v>
      </c>
      <c r="BR4" s="18">
        <v>20</v>
      </c>
      <c r="BT4" s="45" t="s">
        <v>176</v>
      </c>
      <c r="BU4" s="45" t="s">
        <v>168</v>
      </c>
      <c r="BV4" s="18">
        <v>20</v>
      </c>
      <c r="BX4" s="39"/>
    </row>
    <row r="5" spans="1:76" x14ac:dyDescent="0.25">
      <c r="A5" s="7">
        <v>3</v>
      </c>
      <c r="B5" s="12" t="s">
        <v>101</v>
      </c>
      <c r="C5" s="13">
        <v>10</v>
      </c>
      <c r="D5" s="12"/>
      <c r="E5" s="13">
        <v>52540</v>
      </c>
      <c r="F5" s="13">
        <v>1</v>
      </c>
      <c r="G5" s="13">
        <v>8</v>
      </c>
      <c r="H5" s="13">
        <v>0</v>
      </c>
      <c r="I5" s="39"/>
      <c r="J5" s="39"/>
      <c r="L5" s="46">
        <v>1</v>
      </c>
      <c r="M5" s="21">
        <v>6</v>
      </c>
      <c r="N5" s="18" t="s">
        <v>173</v>
      </c>
      <c r="O5" s="18" t="s">
        <v>181</v>
      </c>
      <c r="P5" s="18" t="s">
        <v>158</v>
      </c>
      <c r="Q5" s="18" t="s">
        <v>155</v>
      </c>
      <c r="R5" s="18" t="s">
        <v>132</v>
      </c>
      <c r="S5" s="18" t="s">
        <v>157</v>
      </c>
      <c r="T5" s="18" t="s">
        <v>107</v>
      </c>
      <c r="U5" s="18" t="s">
        <v>108</v>
      </c>
      <c r="V5" s="18" t="s">
        <v>111</v>
      </c>
      <c r="W5" s="18" t="s">
        <v>111</v>
      </c>
      <c r="X5" s="18" t="s">
        <v>175</v>
      </c>
      <c r="Y5" s="18" t="s">
        <v>175</v>
      </c>
      <c r="Z5" s="18" t="s">
        <v>175</v>
      </c>
      <c r="AA5" s="18" t="s">
        <v>170</v>
      </c>
      <c r="AB5" s="18" t="s">
        <v>170</v>
      </c>
      <c r="AC5" s="18" t="s">
        <v>170</v>
      </c>
      <c r="AD5" s="18" t="s">
        <v>125</v>
      </c>
      <c r="AE5" s="18" t="s">
        <v>170</v>
      </c>
      <c r="AF5" s="18" t="s">
        <v>126</v>
      </c>
      <c r="AG5" s="18" t="s">
        <v>183</v>
      </c>
      <c r="AH5" s="47" t="s">
        <v>182</v>
      </c>
      <c r="AI5" s="18" t="s">
        <v>118</v>
      </c>
      <c r="AJ5" s="18" t="s">
        <v>145</v>
      </c>
      <c r="AK5" s="18">
        <v>1</v>
      </c>
      <c r="AL5" s="18" t="s">
        <v>150</v>
      </c>
      <c r="AM5" s="18" t="s">
        <v>151</v>
      </c>
      <c r="AN5" s="18" t="s">
        <v>136</v>
      </c>
      <c r="AO5" s="42"/>
      <c r="AP5" s="42"/>
      <c r="AQ5" s="42"/>
      <c r="AR5" s="42"/>
      <c r="AS5" s="42"/>
      <c r="AT5" s="42"/>
      <c r="AU5" s="42"/>
      <c r="AV5" s="42"/>
      <c r="AW5" s="42"/>
      <c r="AX5" s="42"/>
      <c r="AY5" s="42"/>
      <c r="AZ5" s="42"/>
      <c r="BA5" s="42"/>
      <c r="BB5" s="42"/>
      <c r="BC5" s="42"/>
      <c r="BD5" s="19"/>
      <c r="BE5" s="19"/>
      <c r="BF5" s="19"/>
      <c r="BG5" s="19"/>
      <c r="BH5" s="19"/>
      <c r="BI5" s="19"/>
      <c r="BJ5" s="19"/>
      <c r="BK5" s="19"/>
      <c r="BL5" s="19"/>
      <c r="BM5" s="19"/>
      <c r="BN5" s="19"/>
      <c r="BO5" s="19"/>
      <c r="BP5" s="45" t="s">
        <v>177</v>
      </c>
      <c r="BQ5" s="45" t="s">
        <v>179</v>
      </c>
      <c r="BR5" s="18">
        <v>20</v>
      </c>
      <c r="BT5" s="45" t="s">
        <v>177</v>
      </c>
      <c r="BU5" s="45" t="s">
        <v>179</v>
      </c>
      <c r="BV5" s="18">
        <v>20</v>
      </c>
      <c r="BX5" s="39"/>
    </row>
    <row r="6" spans="1:76" x14ac:dyDescent="0.25">
      <c r="A6" s="7">
        <v>4</v>
      </c>
      <c r="B6" s="12"/>
      <c r="C6" s="13"/>
      <c r="D6" s="12"/>
      <c r="E6" s="13"/>
      <c r="F6" s="13"/>
      <c r="G6" s="13"/>
      <c r="H6" s="13"/>
      <c r="I6" s="39"/>
      <c r="J6" s="39"/>
      <c r="L6" s="46">
        <v>1</v>
      </c>
      <c r="M6" s="21">
        <v>6</v>
      </c>
      <c r="N6" s="18" t="s">
        <v>174</v>
      </c>
      <c r="O6" s="18" t="s">
        <v>171</v>
      </c>
      <c r="P6" s="18" t="s">
        <v>158</v>
      </c>
      <c r="Q6" s="18" t="s">
        <v>155</v>
      </c>
      <c r="R6" s="18" t="s">
        <v>132</v>
      </c>
      <c r="S6" s="18" t="s">
        <v>157</v>
      </c>
      <c r="T6" s="18" t="s">
        <v>107</v>
      </c>
      <c r="U6" s="18" t="s">
        <v>108</v>
      </c>
      <c r="V6" s="18" t="s">
        <v>111</v>
      </c>
      <c r="W6" s="18" t="s">
        <v>111</v>
      </c>
      <c r="X6" s="18" t="s">
        <v>175</v>
      </c>
      <c r="Y6" s="18" t="s">
        <v>175</v>
      </c>
      <c r="Z6" s="18" t="s">
        <v>175</v>
      </c>
      <c r="AA6" s="18" t="s">
        <v>170</v>
      </c>
      <c r="AB6" s="18" t="s">
        <v>170</v>
      </c>
      <c r="AC6" s="18" t="s">
        <v>170</v>
      </c>
      <c r="AD6" s="18" t="s">
        <v>125</v>
      </c>
      <c r="AE6" s="18" t="s">
        <v>170</v>
      </c>
      <c r="AF6" s="18" t="s">
        <v>126</v>
      </c>
      <c r="AG6" s="18" t="s">
        <v>183</v>
      </c>
      <c r="AH6" s="47" t="s">
        <v>184</v>
      </c>
      <c r="AI6" s="18" t="s">
        <v>118</v>
      </c>
      <c r="AJ6" s="18" t="s">
        <v>145</v>
      </c>
      <c r="AK6" s="18">
        <v>1</v>
      </c>
      <c r="AL6" s="18" t="s">
        <v>150</v>
      </c>
      <c r="AM6" s="18" t="s">
        <v>151</v>
      </c>
      <c r="AN6" s="18" t="s">
        <v>136</v>
      </c>
      <c r="AO6" s="42"/>
      <c r="AP6" s="42"/>
      <c r="AQ6" s="42"/>
      <c r="AR6" s="42"/>
      <c r="AS6" s="42"/>
      <c r="AT6" s="42"/>
      <c r="AU6" s="42"/>
      <c r="AV6" s="42"/>
      <c r="AW6" s="42"/>
      <c r="AX6" s="42"/>
      <c r="AY6" s="42"/>
      <c r="AZ6" s="42"/>
      <c r="BA6" s="42"/>
      <c r="BB6" s="42"/>
      <c r="BC6" s="42"/>
      <c r="BD6" s="19"/>
      <c r="BE6" s="19"/>
      <c r="BF6" s="19"/>
      <c r="BG6" s="19"/>
      <c r="BH6" s="19"/>
      <c r="BI6" s="19"/>
      <c r="BJ6" s="19"/>
      <c r="BK6" s="19"/>
      <c r="BL6" s="19"/>
      <c r="BM6" s="19"/>
      <c r="BN6" s="19"/>
      <c r="BO6" s="19"/>
      <c r="BP6" s="45" t="s">
        <v>178</v>
      </c>
      <c r="BQ6" s="45" t="s">
        <v>180</v>
      </c>
      <c r="BR6" s="18">
        <v>20</v>
      </c>
      <c r="BT6" s="45" t="s">
        <v>178</v>
      </c>
      <c r="BU6" s="45" t="s">
        <v>180</v>
      </c>
      <c r="BV6" s="18">
        <v>20</v>
      </c>
      <c r="BX6" s="39"/>
    </row>
    <row r="7" spans="1:76" x14ac:dyDescent="0.25">
      <c r="A7" s="7">
        <v>5</v>
      </c>
      <c r="B7" s="12"/>
      <c r="C7" s="13"/>
      <c r="D7" s="12"/>
      <c r="E7" s="16"/>
      <c r="F7" s="13"/>
      <c r="G7" s="13"/>
      <c r="H7" s="13"/>
      <c r="I7" s="39"/>
      <c r="J7" s="39"/>
      <c r="L7" s="46"/>
      <c r="M7" s="21"/>
      <c r="N7" s="18"/>
      <c r="O7" s="18"/>
      <c r="P7" s="18"/>
      <c r="Q7" s="18"/>
      <c r="R7" s="18"/>
      <c r="S7" s="18"/>
      <c r="T7" s="18"/>
      <c r="U7" s="18"/>
      <c r="V7" s="18"/>
      <c r="W7" s="18"/>
      <c r="X7" s="18"/>
      <c r="Y7" s="18"/>
      <c r="Z7" s="18"/>
      <c r="AA7" s="18"/>
      <c r="AB7" s="18"/>
      <c r="AC7" s="18"/>
      <c r="AD7" s="18"/>
      <c r="AE7" s="18"/>
      <c r="AF7" s="18"/>
      <c r="AG7" s="18"/>
      <c r="AH7" s="47"/>
      <c r="AI7" s="18"/>
      <c r="AJ7" s="18"/>
      <c r="AK7" s="18"/>
      <c r="AL7" s="18"/>
      <c r="AM7" s="18"/>
      <c r="AN7" s="18"/>
      <c r="AO7" s="42"/>
      <c r="AP7" s="42"/>
      <c r="AQ7" s="42"/>
      <c r="AR7" s="42"/>
      <c r="AS7" s="42"/>
      <c r="AT7" s="42"/>
      <c r="AU7" s="42"/>
      <c r="AV7" s="42"/>
      <c r="AW7" s="42"/>
      <c r="AX7" s="42"/>
      <c r="AY7" s="42"/>
      <c r="AZ7" s="42"/>
      <c r="BA7" s="42"/>
      <c r="BB7" s="42"/>
      <c r="BC7" s="42"/>
      <c r="BD7" s="19"/>
      <c r="BE7" s="19"/>
      <c r="BF7" s="19"/>
      <c r="BG7" s="19"/>
      <c r="BH7" s="19"/>
      <c r="BI7" s="19"/>
      <c r="BJ7" s="19"/>
      <c r="BK7" s="19"/>
      <c r="BL7" s="19"/>
      <c r="BM7" s="19"/>
      <c r="BN7" s="19"/>
      <c r="BO7" s="19"/>
      <c r="BP7" s="45"/>
      <c r="BQ7" s="45"/>
      <c r="BR7" s="18"/>
      <c r="BT7" s="45"/>
      <c r="BU7" s="45"/>
      <c r="BV7" s="18"/>
    </row>
    <row r="8" spans="1:76" x14ac:dyDescent="0.25">
      <c r="A8" s="7">
        <v>6</v>
      </c>
      <c r="B8" s="12"/>
      <c r="C8" s="13"/>
      <c r="D8" s="12"/>
      <c r="E8" s="13"/>
      <c r="F8" s="13"/>
      <c r="G8" s="13"/>
      <c r="H8" s="13"/>
      <c r="I8" s="39"/>
      <c r="J8" s="39"/>
      <c r="L8" s="46"/>
      <c r="M8" s="21"/>
      <c r="N8" s="18"/>
      <c r="O8" s="18"/>
      <c r="P8" s="18"/>
      <c r="Q8" s="18"/>
      <c r="R8" s="18"/>
      <c r="S8" s="18"/>
      <c r="T8" s="18"/>
      <c r="U8" s="18"/>
      <c r="V8" s="18"/>
      <c r="W8" s="18"/>
      <c r="X8" s="18"/>
      <c r="Y8" s="18"/>
      <c r="Z8" s="18"/>
      <c r="AA8" s="18"/>
      <c r="AB8" s="18"/>
      <c r="AC8" s="18"/>
      <c r="AD8" s="18"/>
      <c r="AE8" s="18"/>
      <c r="AF8" s="18"/>
      <c r="AG8" s="18"/>
      <c r="AH8" s="47"/>
      <c r="AI8" s="18"/>
      <c r="AJ8" s="18"/>
      <c r="AK8" s="18"/>
      <c r="AL8" s="18"/>
      <c r="AM8" s="18"/>
      <c r="AN8" s="18"/>
      <c r="AO8" s="42"/>
      <c r="AP8" s="42"/>
      <c r="AQ8" s="42"/>
      <c r="AR8" s="42"/>
      <c r="AS8" s="42"/>
      <c r="AT8" s="42"/>
      <c r="AU8" s="42"/>
      <c r="AV8" s="42"/>
      <c r="AW8" s="42"/>
      <c r="AX8" s="42"/>
      <c r="AY8" s="42"/>
      <c r="AZ8" s="42"/>
      <c r="BA8" s="42"/>
      <c r="BB8" s="42"/>
      <c r="BC8" s="42"/>
      <c r="BD8" s="19"/>
      <c r="BE8" s="19"/>
      <c r="BF8" s="19"/>
      <c r="BG8" s="19"/>
      <c r="BH8" s="19"/>
      <c r="BI8" s="19"/>
      <c r="BJ8" s="19"/>
      <c r="BK8" s="19"/>
      <c r="BL8" s="19"/>
      <c r="BM8" s="19"/>
      <c r="BN8" s="19"/>
      <c r="BO8" s="19"/>
      <c r="BP8" s="45"/>
      <c r="BQ8" s="45"/>
      <c r="BR8" s="18"/>
      <c r="BT8" s="45"/>
      <c r="BU8" s="45"/>
      <c r="BV8" s="18"/>
      <c r="BX8" s="39"/>
    </row>
    <row r="9" spans="1:76" x14ac:dyDescent="0.25">
      <c r="A9" s="7">
        <v>7</v>
      </c>
      <c r="B9" s="12"/>
      <c r="C9" s="13"/>
      <c r="D9" s="12"/>
      <c r="E9" s="13"/>
      <c r="F9" s="13"/>
      <c r="G9" s="13"/>
      <c r="H9" s="13"/>
      <c r="I9" s="39"/>
      <c r="J9" s="39"/>
      <c r="L9" s="46"/>
      <c r="M9" s="21"/>
      <c r="N9" s="18"/>
      <c r="O9" s="18"/>
      <c r="P9" s="18"/>
      <c r="Q9" s="18"/>
      <c r="R9" s="18"/>
      <c r="S9" s="18"/>
      <c r="T9" s="18"/>
      <c r="U9" s="18"/>
      <c r="V9" s="18"/>
      <c r="W9" s="18"/>
      <c r="X9" s="18"/>
      <c r="Y9" s="18"/>
      <c r="Z9" s="18"/>
      <c r="AA9" s="18"/>
      <c r="AB9" s="18"/>
      <c r="AC9" s="18"/>
      <c r="AD9" s="18"/>
      <c r="AE9" s="18"/>
      <c r="AF9" s="18"/>
      <c r="AG9" s="18"/>
      <c r="AH9" s="47"/>
      <c r="AI9" s="18"/>
      <c r="AJ9" s="18"/>
      <c r="AK9" s="18"/>
      <c r="AL9" s="18"/>
      <c r="AM9" s="18"/>
      <c r="AN9" s="18"/>
      <c r="AO9" s="42"/>
      <c r="AP9" s="42"/>
      <c r="AQ9" s="42"/>
      <c r="AR9" s="42"/>
      <c r="AS9" s="42"/>
      <c r="AT9" s="42"/>
      <c r="AU9" s="42"/>
      <c r="AV9" s="42"/>
      <c r="AW9" s="42"/>
      <c r="AX9" s="42"/>
      <c r="AY9" s="42"/>
      <c r="AZ9" s="42"/>
      <c r="BA9" s="42"/>
      <c r="BB9" s="42"/>
      <c r="BC9" s="42"/>
      <c r="BD9" s="19"/>
      <c r="BE9" s="19"/>
      <c r="BF9" s="19"/>
      <c r="BG9" s="19"/>
      <c r="BH9" s="19"/>
      <c r="BI9" s="19"/>
      <c r="BJ9" s="19"/>
      <c r="BK9" s="19"/>
      <c r="BL9" s="19"/>
      <c r="BM9" s="19"/>
      <c r="BN9" s="19"/>
      <c r="BO9" s="19"/>
      <c r="BP9" s="45"/>
      <c r="BQ9" s="45"/>
      <c r="BR9" s="18"/>
      <c r="BT9" s="45"/>
      <c r="BU9" s="45"/>
      <c r="BV9" s="18"/>
      <c r="BX9" s="39"/>
    </row>
    <row r="10" spans="1:76" x14ac:dyDescent="0.25">
      <c r="A10" s="7">
        <v>8</v>
      </c>
      <c r="B10" s="12"/>
      <c r="C10" s="13"/>
      <c r="D10" s="12"/>
      <c r="E10" s="13"/>
      <c r="F10" s="13"/>
      <c r="G10" s="13"/>
      <c r="H10" s="13"/>
      <c r="I10" s="39"/>
      <c r="J10" s="39"/>
      <c r="L10" s="46"/>
      <c r="M10" s="21"/>
      <c r="N10" s="18"/>
      <c r="O10" s="18"/>
      <c r="P10" s="18"/>
      <c r="Q10" s="18"/>
      <c r="R10" s="18"/>
      <c r="S10" s="18"/>
      <c r="T10" s="18"/>
      <c r="U10" s="18"/>
      <c r="V10" s="18"/>
      <c r="W10" s="18"/>
      <c r="X10" s="18"/>
      <c r="Y10" s="18"/>
      <c r="Z10" s="18"/>
      <c r="AA10" s="18"/>
      <c r="AB10" s="18"/>
      <c r="AC10" s="18"/>
      <c r="AD10" s="18"/>
      <c r="AE10" s="18"/>
      <c r="AF10" s="18"/>
      <c r="AG10" s="18"/>
      <c r="AH10" s="47"/>
      <c r="AI10" s="18"/>
      <c r="AJ10" s="18"/>
      <c r="AK10" s="18"/>
      <c r="AL10" s="18"/>
      <c r="AM10" s="18"/>
      <c r="AN10" s="18"/>
      <c r="AO10" s="42"/>
      <c r="AP10" s="42"/>
      <c r="AQ10" s="42"/>
      <c r="AR10" s="42"/>
      <c r="AS10" s="42"/>
      <c r="AT10" s="42"/>
      <c r="AU10" s="42"/>
      <c r="AV10" s="42"/>
      <c r="AW10" s="42"/>
      <c r="AX10" s="42"/>
      <c r="AY10" s="42"/>
      <c r="AZ10" s="42"/>
      <c r="BA10" s="42"/>
      <c r="BB10" s="42"/>
      <c r="BC10" s="42"/>
      <c r="BD10" s="19"/>
      <c r="BE10" s="19"/>
      <c r="BF10" s="19"/>
      <c r="BG10" s="19"/>
      <c r="BH10" s="19"/>
      <c r="BI10" s="19"/>
      <c r="BJ10" s="19"/>
      <c r="BK10" s="19"/>
      <c r="BL10" s="19"/>
      <c r="BM10" s="19"/>
      <c r="BN10" s="19"/>
      <c r="BO10" s="19"/>
      <c r="BP10" s="45"/>
      <c r="BQ10" s="45"/>
      <c r="BR10" s="18"/>
      <c r="BT10" s="45"/>
      <c r="BU10" s="45"/>
      <c r="BV10" s="18"/>
      <c r="BX10" s="39"/>
    </row>
    <row r="11" spans="1:76" x14ac:dyDescent="0.25">
      <c r="A11" s="7">
        <v>9</v>
      </c>
      <c r="B11" s="12"/>
      <c r="C11" s="13"/>
      <c r="D11" s="12"/>
      <c r="E11" s="13"/>
      <c r="F11" s="13"/>
      <c r="G11" s="13"/>
      <c r="H11" s="13"/>
      <c r="I11" s="39"/>
      <c r="J11" s="39"/>
      <c r="L11" s="46"/>
      <c r="M11" s="21"/>
      <c r="N11" s="18"/>
      <c r="O11" s="18"/>
      <c r="P11" s="18"/>
      <c r="Q11" s="18"/>
      <c r="R11" s="18"/>
      <c r="S11" s="18"/>
      <c r="T11" s="18"/>
      <c r="U11" s="18"/>
      <c r="V11" s="18"/>
      <c r="W11" s="18"/>
      <c r="X11" s="18"/>
      <c r="Y11" s="18"/>
      <c r="Z11" s="18"/>
      <c r="AA11" s="18"/>
      <c r="AB11" s="18"/>
      <c r="AC11" s="18"/>
      <c r="AD11" s="18"/>
      <c r="AE11" s="18"/>
      <c r="AF11" s="18"/>
      <c r="AG11" s="18"/>
      <c r="AH11" s="47"/>
      <c r="AI11" s="18"/>
      <c r="AJ11" s="18"/>
      <c r="AK11" s="18"/>
      <c r="AL11" s="18"/>
      <c r="AM11" s="18"/>
      <c r="AN11" s="18"/>
      <c r="AO11" s="42"/>
      <c r="AP11" s="42"/>
      <c r="AQ11" s="42"/>
      <c r="AR11" s="42"/>
      <c r="AS11" s="42"/>
      <c r="AT11" s="42"/>
      <c r="AU11" s="42"/>
      <c r="AV11" s="42"/>
      <c r="AW11" s="42"/>
      <c r="AX11" s="42"/>
      <c r="AY11" s="42"/>
      <c r="AZ11" s="42"/>
      <c r="BA11" s="42"/>
      <c r="BB11" s="42"/>
      <c r="BC11" s="42"/>
      <c r="BD11" s="19"/>
      <c r="BE11" s="19"/>
      <c r="BF11" s="19"/>
      <c r="BG11" s="19"/>
      <c r="BH11" s="19"/>
      <c r="BI11" s="19"/>
      <c r="BJ11" s="19"/>
      <c r="BK11" s="19"/>
      <c r="BL11" s="19"/>
      <c r="BM11" s="19"/>
      <c r="BN11" s="19"/>
      <c r="BO11" s="19"/>
      <c r="BP11" s="45"/>
      <c r="BQ11" s="45"/>
      <c r="BR11" s="18"/>
      <c r="BT11" s="45"/>
      <c r="BU11" s="45"/>
      <c r="BV11" s="18"/>
    </row>
    <row r="12" spans="1:76" x14ac:dyDescent="0.25">
      <c r="A12" s="7">
        <v>10</v>
      </c>
      <c r="B12" s="12"/>
      <c r="C12" s="13"/>
      <c r="D12" s="12"/>
      <c r="E12" s="13"/>
      <c r="F12" s="13"/>
      <c r="G12" s="13"/>
      <c r="H12" s="13"/>
      <c r="I12" s="39"/>
      <c r="J12" s="39"/>
      <c r="L12" s="21"/>
      <c r="M12" s="21"/>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42"/>
      <c r="AP12" s="42"/>
      <c r="AQ12" s="42"/>
      <c r="AR12" s="42"/>
      <c r="AS12" s="42"/>
      <c r="AT12" s="42"/>
      <c r="AU12" s="42"/>
      <c r="AV12" s="42"/>
      <c r="AW12" s="42"/>
      <c r="AX12" s="42"/>
      <c r="AY12" s="42"/>
      <c r="AZ12" s="42"/>
      <c r="BA12" s="42"/>
      <c r="BB12" s="42"/>
      <c r="BC12" s="42"/>
      <c r="BD12" s="19"/>
      <c r="BE12" s="19"/>
      <c r="BF12" s="19"/>
      <c r="BG12" s="19"/>
      <c r="BH12" s="19"/>
      <c r="BI12" s="19"/>
      <c r="BJ12" s="19"/>
      <c r="BK12" s="19"/>
      <c r="BL12" s="19"/>
      <c r="BM12" s="19"/>
      <c r="BN12" s="19"/>
      <c r="BO12" s="19"/>
      <c r="BP12" s="45"/>
      <c r="BQ12" s="45"/>
      <c r="BR12" s="18"/>
      <c r="BT12" s="45"/>
      <c r="BU12" s="45"/>
      <c r="BV12" s="18"/>
    </row>
    <row r="13" spans="1:76" x14ac:dyDescent="0.25">
      <c r="B13" s="5"/>
      <c r="C13" s="6"/>
      <c r="D13" s="5"/>
      <c r="E13" s="6"/>
      <c r="F13" s="6"/>
      <c r="L13" s="21"/>
      <c r="M13" s="21"/>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42"/>
      <c r="AP13" s="42"/>
      <c r="AQ13" s="42"/>
      <c r="AR13" s="42"/>
      <c r="AS13" s="42"/>
      <c r="AT13" s="42"/>
      <c r="AU13" s="42"/>
      <c r="AV13" s="42"/>
      <c r="AW13" s="42"/>
      <c r="AX13" s="42"/>
      <c r="AY13" s="42"/>
      <c r="AZ13" s="42"/>
      <c r="BA13" s="42"/>
      <c r="BB13" s="42"/>
      <c r="BC13" s="42"/>
      <c r="BD13" s="19"/>
      <c r="BE13" s="19"/>
      <c r="BF13" s="19"/>
      <c r="BG13" s="19"/>
      <c r="BH13" s="19"/>
      <c r="BI13" s="19"/>
      <c r="BJ13" s="19"/>
      <c r="BK13" s="19"/>
      <c r="BL13" s="19"/>
      <c r="BM13" s="19"/>
      <c r="BN13" s="19"/>
      <c r="BO13" s="19"/>
      <c r="BP13" s="45"/>
      <c r="BQ13" s="45"/>
      <c r="BR13" s="18"/>
      <c r="BT13" s="45"/>
      <c r="BU13" s="45"/>
      <c r="BV13" s="18"/>
    </row>
    <row r="14" spans="1:76" x14ac:dyDescent="0.25">
      <c r="I14" s="39"/>
      <c r="J14" s="39"/>
      <c r="L14" s="21"/>
      <c r="M14" s="21"/>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42"/>
      <c r="AP14" s="42"/>
      <c r="AQ14" s="42"/>
      <c r="AR14" s="42"/>
      <c r="AS14" s="42"/>
      <c r="AT14" s="42"/>
      <c r="AU14" s="42"/>
      <c r="AV14" s="42"/>
      <c r="AW14" s="42"/>
      <c r="AX14" s="42"/>
      <c r="AY14" s="42"/>
      <c r="AZ14" s="42"/>
      <c r="BA14" s="42"/>
      <c r="BB14" s="42"/>
      <c r="BC14" s="42"/>
      <c r="BD14" s="19"/>
      <c r="BE14" s="19"/>
      <c r="BF14" s="19"/>
      <c r="BG14" s="19"/>
      <c r="BH14" s="19"/>
      <c r="BI14" s="19"/>
      <c r="BJ14" s="19"/>
      <c r="BK14" s="19"/>
      <c r="BL14" s="19"/>
      <c r="BM14" s="19"/>
      <c r="BN14" s="19"/>
      <c r="BO14" s="19"/>
      <c r="BP14" s="45"/>
      <c r="BQ14" s="45"/>
      <c r="BR14" s="18"/>
      <c r="BT14" s="45"/>
      <c r="BU14" s="45"/>
      <c r="BV14" s="18"/>
    </row>
    <row r="15" spans="1:76" x14ac:dyDescent="0.25">
      <c r="B15" s="48" t="s">
        <v>11</v>
      </c>
      <c r="C15" s="48"/>
      <c r="D15" s="48"/>
      <c r="I15" s="39"/>
      <c r="J15" s="39"/>
      <c r="L15" s="21"/>
      <c r="M15" s="21"/>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42"/>
      <c r="AP15" s="42"/>
      <c r="AQ15" s="42"/>
      <c r="AR15" s="42"/>
      <c r="AS15" s="42"/>
      <c r="AT15" s="42"/>
      <c r="AU15" s="42"/>
      <c r="AV15" s="42"/>
      <c r="AW15" s="42"/>
      <c r="AX15" s="42"/>
      <c r="AY15" s="42"/>
      <c r="AZ15" s="42"/>
      <c r="BA15" s="42"/>
      <c r="BB15" s="42"/>
      <c r="BC15" s="42"/>
      <c r="BD15" s="19"/>
      <c r="BE15" s="19"/>
      <c r="BF15" s="19"/>
      <c r="BG15" s="19"/>
      <c r="BH15" s="19"/>
      <c r="BI15" s="19"/>
      <c r="BJ15" s="19"/>
      <c r="BK15" s="19"/>
      <c r="BL15" s="19"/>
      <c r="BM15" s="19"/>
      <c r="BN15" s="19"/>
      <c r="BO15" s="19"/>
      <c r="BP15" s="45"/>
      <c r="BQ15" s="45"/>
      <c r="BR15" s="18"/>
      <c r="BT15" s="45"/>
      <c r="BU15" s="45"/>
      <c r="BV15" s="18"/>
    </row>
    <row r="16" spans="1:76" x14ac:dyDescent="0.25">
      <c r="A16" s="7" t="s">
        <v>9</v>
      </c>
      <c r="B16" s="11" t="s">
        <v>4</v>
      </c>
      <c r="C16" s="7" t="s">
        <v>3</v>
      </c>
      <c r="D16" s="11" t="s">
        <v>8</v>
      </c>
      <c r="F16" s="20" t="s">
        <v>18</v>
      </c>
      <c r="G16" s="13">
        <v>46</v>
      </c>
      <c r="I16" s="39"/>
      <c r="J16" s="39"/>
      <c r="L16" s="21"/>
      <c r="M16" s="21"/>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42"/>
      <c r="AP16" s="42"/>
      <c r="AQ16" s="42"/>
      <c r="AR16" s="42"/>
      <c r="AS16" s="42"/>
      <c r="AT16" s="42"/>
      <c r="AU16" s="42"/>
      <c r="AV16" s="42"/>
      <c r="AW16" s="42"/>
      <c r="AX16" s="42"/>
      <c r="AY16" s="42"/>
      <c r="AZ16" s="42"/>
      <c r="BA16" s="42"/>
      <c r="BB16" s="42"/>
      <c r="BC16" s="42"/>
      <c r="BD16" s="19"/>
      <c r="BE16" s="19"/>
      <c r="BF16" s="19"/>
      <c r="BG16" s="19"/>
      <c r="BH16" s="19"/>
      <c r="BI16" s="19"/>
      <c r="BJ16" s="19"/>
      <c r="BK16" s="19"/>
      <c r="BL16" s="19"/>
      <c r="BM16" s="19"/>
      <c r="BN16" s="19"/>
      <c r="BO16" s="19"/>
      <c r="BP16" s="45"/>
      <c r="BQ16" s="45"/>
      <c r="BR16" s="18"/>
      <c r="BT16" s="45"/>
      <c r="BU16" s="45"/>
      <c r="BV16" s="18"/>
    </row>
    <row r="17" spans="1:74" x14ac:dyDescent="0.25">
      <c r="A17" s="7">
        <v>1</v>
      </c>
      <c r="B17" s="14" t="s">
        <v>85</v>
      </c>
      <c r="C17" s="13">
        <v>1</v>
      </c>
      <c r="D17" s="17" t="s">
        <v>29</v>
      </c>
      <c r="I17" s="39"/>
      <c r="J17" s="39"/>
      <c r="L17" s="21"/>
      <c r="M17" s="21"/>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42"/>
      <c r="AP17" s="42"/>
      <c r="AQ17" s="42"/>
      <c r="AR17" s="42"/>
      <c r="AS17" s="42"/>
      <c r="AT17" s="42"/>
      <c r="AU17" s="42"/>
      <c r="AV17" s="42"/>
      <c r="AW17" s="42"/>
      <c r="AX17" s="42"/>
      <c r="AY17" s="42"/>
      <c r="AZ17" s="42"/>
      <c r="BA17" s="42"/>
      <c r="BB17" s="42"/>
      <c r="BC17" s="42"/>
      <c r="BD17" s="19"/>
      <c r="BE17" s="19"/>
      <c r="BF17" s="19"/>
      <c r="BG17" s="19"/>
      <c r="BH17" s="19"/>
      <c r="BI17" s="19"/>
      <c r="BJ17" s="19"/>
      <c r="BK17" s="19"/>
      <c r="BL17" s="19"/>
      <c r="BM17" s="19"/>
      <c r="BN17" s="19"/>
      <c r="BO17" s="19"/>
      <c r="BP17" s="45"/>
      <c r="BQ17" s="45"/>
      <c r="BR17" s="18"/>
      <c r="BT17" s="45"/>
      <c r="BU17" s="45"/>
      <c r="BV17" s="18"/>
    </row>
    <row r="18" spans="1:74" x14ac:dyDescent="0.25">
      <c r="A18" s="7">
        <v>2</v>
      </c>
      <c r="B18" s="14" t="s">
        <v>92</v>
      </c>
      <c r="C18" s="13">
        <v>3</v>
      </c>
      <c r="D18" s="17" t="s">
        <v>93</v>
      </c>
      <c r="I18" s="4"/>
      <c r="L18" s="21"/>
      <c r="M18" s="21"/>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42"/>
      <c r="AP18" s="42"/>
      <c r="AQ18" s="42"/>
      <c r="AR18" s="42"/>
      <c r="AS18" s="42"/>
      <c r="AT18" s="42"/>
      <c r="AU18" s="42"/>
      <c r="AV18" s="42"/>
      <c r="AW18" s="42"/>
      <c r="AX18" s="42"/>
      <c r="AY18" s="42"/>
      <c r="AZ18" s="42"/>
      <c r="BA18" s="42"/>
      <c r="BB18" s="42"/>
      <c r="BC18" s="42"/>
      <c r="BD18" s="19"/>
      <c r="BE18" s="19"/>
      <c r="BF18" s="19"/>
      <c r="BG18" s="19"/>
      <c r="BH18" s="19"/>
      <c r="BI18" s="19"/>
      <c r="BJ18" s="19"/>
      <c r="BK18" s="19"/>
      <c r="BL18" s="19"/>
      <c r="BM18" s="19"/>
      <c r="BN18" s="19"/>
      <c r="BO18" s="19"/>
      <c r="BP18" s="45"/>
      <c r="BQ18" s="45"/>
      <c r="BR18" s="18"/>
      <c r="BT18" s="45"/>
      <c r="BU18" s="45"/>
      <c r="BV18" s="18"/>
    </row>
    <row r="19" spans="1:74" x14ac:dyDescent="0.25">
      <c r="A19" s="7">
        <v>3</v>
      </c>
      <c r="B19" s="14" t="s">
        <v>98</v>
      </c>
      <c r="C19" s="13">
        <v>8</v>
      </c>
      <c r="D19" s="17" t="s">
        <v>99</v>
      </c>
      <c r="I19" s="3"/>
      <c r="L19" s="21"/>
      <c r="M19" s="21"/>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42"/>
      <c r="AP19" s="42"/>
      <c r="AQ19" s="42"/>
      <c r="AR19" s="42"/>
      <c r="AS19" s="42"/>
      <c r="AT19" s="42"/>
      <c r="AU19" s="42"/>
      <c r="AV19" s="42"/>
      <c r="AW19" s="42"/>
      <c r="AX19" s="42"/>
      <c r="AY19" s="42"/>
      <c r="AZ19" s="42"/>
      <c r="BA19" s="42"/>
      <c r="BB19" s="42"/>
      <c r="BC19" s="42"/>
      <c r="BD19" s="19"/>
      <c r="BE19" s="19"/>
      <c r="BF19" s="19"/>
      <c r="BG19" s="19"/>
      <c r="BH19" s="19"/>
      <c r="BI19" s="19"/>
      <c r="BJ19" s="19"/>
      <c r="BK19" s="19"/>
      <c r="BL19" s="19"/>
      <c r="BM19" s="19"/>
      <c r="BN19" s="19"/>
      <c r="BO19" s="19"/>
      <c r="BP19" s="45"/>
      <c r="BQ19" s="45"/>
      <c r="BR19" s="18"/>
      <c r="BT19" s="45"/>
      <c r="BU19" s="45"/>
      <c r="BV19" s="18"/>
    </row>
    <row r="20" spans="1:74" x14ac:dyDescent="0.25">
      <c r="A20" s="7">
        <v>4</v>
      </c>
      <c r="B20" s="12" t="s">
        <v>121</v>
      </c>
      <c r="C20" s="13">
        <v>26</v>
      </c>
      <c r="D20" s="17" t="s">
        <v>118</v>
      </c>
      <c r="I20" s="3"/>
      <c r="AA20" s="4"/>
      <c r="AB20" s="4"/>
      <c r="AC20" s="4"/>
      <c r="AD20" s="4"/>
      <c r="AE20" s="4"/>
      <c r="AF20" s="4"/>
      <c r="AG20" s="4"/>
      <c r="AI20" s="4"/>
    </row>
    <row r="21" spans="1:74" x14ac:dyDescent="0.25">
      <c r="A21" s="7">
        <v>5</v>
      </c>
      <c r="B21" s="12" t="s">
        <v>122</v>
      </c>
      <c r="C21" s="13">
        <v>27</v>
      </c>
      <c r="D21" s="17" t="s">
        <v>118</v>
      </c>
      <c r="R21" s="4"/>
      <c r="S21" s="4"/>
      <c r="V21" s="4"/>
      <c r="W21" s="4"/>
      <c r="AA21" s="4"/>
      <c r="AB21" s="4"/>
      <c r="AC21" s="4"/>
      <c r="AD21" s="4"/>
      <c r="AE21" s="4"/>
      <c r="AF21" s="4"/>
      <c r="AG21" s="4"/>
      <c r="AI21" s="4"/>
    </row>
    <row r="22" spans="1:74" x14ac:dyDescent="0.25">
      <c r="A22" s="7">
        <v>6</v>
      </c>
      <c r="B22" s="12" t="s">
        <v>123</v>
      </c>
      <c r="C22" s="13">
        <v>28</v>
      </c>
      <c r="D22" s="17" t="s">
        <v>126</v>
      </c>
      <c r="R22" s="4"/>
      <c r="S22" s="4"/>
      <c r="V22" s="4"/>
      <c r="W22" s="4"/>
      <c r="AA22" s="4"/>
      <c r="AB22" s="4"/>
      <c r="AC22" s="4"/>
      <c r="AD22" s="4"/>
      <c r="AE22" s="4"/>
      <c r="AF22" s="4"/>
      <c r="AG22" s="4"/>
      <c r="AI22" s="4"/>
    </row>
    <row r="23" spans="1:74" x14ac:dyDescent="0.25">
      <c r="A23" s="7">
        <v>7</v>
      </c>
      <c r="B23" s="12" t="s">
        <v>124</v>
      </c>
      <c r="C23" s="13">
        <v>30</v>
      </c>
      <c r="D23" s="17" t="s">
        <v>127</v>
      </c>
      <c r="P23" s="4"/>
      <c r="Q23" s="4"/>
      <c r="R23" s="4"/>
      <c r="S23" s="4"/>
      <c r="T23" s="4"/>
      <c r="U23" s="4"/>
      <c r="V23" s="4"/>
      <c r="W23" s="4"/>
      <c r="X23" s="4"/>
      <c r="Y23" s="4"/>
      <c r="Z23" s="4"/>
      <c r="AA23" s="4"/>
      <c r="AB23" s="4"/>
      <c r="AC23" s="4"/>
      <c r="AD23" s="4"/>
      <c r="AE23" s="4"/>
      <c r="AF23" s="4"/>
      <c r="AG23" s="4"/>
      <c r="AI23" s="4"/>
    </row>
    <row r="24" spans="1:74" x14ac:dyDescent="0.25">
      <c r="A24" s="7">
        <v>8</v>
      </c>
      <c r="B24" s="12" t="s">
        <v>128</v>
      </c>
      <c r="C24" s="13">
        <v>32</v>
      </c>
      <c r="D24" s="17" t="s">
        <v>129</v>
      </c>
      <c r="F24" s="29" t="s">
        <v>59</v>
      </c>
      <c r="G24" s="30"/>
      <c r="H24" s="2" t="s">
        <v>61</v>
      </c>
      <c r="P24" s="4"/>
      <c r="Q24" s="4"/>
      <c r="R24" s="4"/>
      <c r="S24" s="4"/>
      <c r="T24" s="4"/>
      <c r="U24" s="4"/>
      <c r="V24" s="4"/>
      <c r="W24" s="4"/>
      <c r="X24" s="4"/>
      <c r="Y24" s="4"/>
      <c r="Z24" s="4"/>
      <c r="AA24" s="4"/>
      <c r="AB24" s="4"/>
      <c r="AC24" s="4"/>
      <c r="AD24" s="4"/>
      <c r="AE24" s="4"/>
      <c r="AF24" s="4"/>
      <c r="AG24" s="4"/>
      <c r="AI24" s="4"/>
    </row>
    <row r="25" spans="1:74" x14ac:dyDescent="0.25">
      <c r="A25" s="7">
        <v>9</v>
      </c>
      <c r="B25" s="12" t="s">
        <v>131</v>
      </c>
      <c r="C25" s="13">
        <v>33</v>
      </c>
      <c r="D25" s="17" t="s">
        <v>47</v>
      </c>
      <c r="F25" s="29" t="s">
        <v>60</v>
      </c>
      <c r="G25" s="13"/>
      <c r="H25" s="2" t="s">
        <v>62</v>
      </c>
      <c r="P25" s="4"/>
      <c r="R25" s="4"/>
      <c r="S25" s="4"/>
      <c r="T25" s="4"/>
      <c r="U25" s="4"/>
      <c r="V25" s="4"/>
      <c r="W25" s="4"/>
      <c r="X25" s="4"/>
      <c r="Y25" s="4"/>
      <c r="Z25" s="4"/>
      <c r="AA25" s="4"/>
      <c r="AB25" s="4"/>
      <c r="AC25" s="4"/>
      <c r="AD25" s="4"/>
      <c r="AE25" s="4"/>
      <c r="AF25" s="4"/>
      <c r="AG25" s="4"/>
      <c r="AI25" s="4"/>
      <c r="BQ25" t="str">
        <f>CONCATENATE(BP4,BQ4)</f>
        <v>2020052006100000</v>
      </c>
    </row>
    <row r="26" spans="1:74" x14ac:dyDescent="0.25">
      <c r="A26" s="7">
        <v>10</v>
      </c>
      <c r="B26" s="12" t="s">
        <v>130</v>
      </c>
      <c r="C26" s="13">
        <v>34</v>
      </c>
      <c r="D26" s="17" t="s">
        <v>132</v>
      </c>
      <c r="P26" s="4"/>
      <c r="R26" s="4"/>
      <c r="S26" s="4"/>
      <c r="T26" s="4"/>
      <c r="U26" s="4"/>
      <c r="V26" s="4"/>
      <c r="W26" s="4"/>
      <c r="X26" s="4"/>
      <c r="Y26" s="4"/>
      <c r="Z26" s="4"/>
      <c r="AA26" s="4"/>
      <c r="AB26" s="4"/>
      <c r="AC26" s="4"/>
      <c r="AD26" s="4"/>
      <c r="AE26" s="4"/>
      <c r="AF26" s="4"/>
      <c r="AG26" s="4"/>
      <c r="AI26" s="4"/>
      <c r="BQ26" t="str">
        <f t="shared" ref="BQ26:BQ30" si="0">CONCATENATE(BP5,BQ5)</f>
        <v>2020052107100000</v>
      </c>
    </row>
    <row r="27" spans="1:74" x14ac:dyDescent="0.25">
      <c r="A27" s="7">
        <v>11</v>
      </c>
      <c r="B27" s="12" t="s">
        <v>135</v>
      </c>
      <c r="C27" s="13">
        <v>38</v>
      </c>
      <c r="D27" s="17" t="s">
        <v>136</v>
      </c>
      <c r="P27" s="4"/>
      <c r="Q27" s="4"/>
      <c r="R27" s="4"/>
      <c r="S27" s="4"/>
      <c r="T27" s="4"/>
      <c r="U27" s="4"/>
      <c r="V27" s="4"/>
      <c r="W27" s="4"/>
      <c r="X27" s="4"/>
      <c r="Y27" s="4"/>
      <c r="Z27" s="4"/>
      <c r="AA27" s="4"/>
      <c r="AB27" s="4"/>
      <c r="AC27" s="4"/>
      <c r="AD27" s="4"/>
      <c r="AE27" s="4"/>
      <c r="AF27" s="4"/>
      <c r="AG27" s="4"/>
      <c r="AI27" s="4"/>
      <c r="BQ27" t="str">
        <f t="shared" si="0"/>
        <v>2020052208100000</v>
      </c>
    </row>
    <row r="28" spans="1:74" x14ac:dyDescent="0.25">
      <c r="A28" s="7">
        <v>12</v>
      </c>
      <c r="B28" s="12" t="s">
        <v>137</v>
      </c>
      <c r="C28" s="13">
        <v>40</v>
      </c>
      <c r="D28" s="17" t="s">
        <v>39</v>
      </c>
      <c r="P28" s="4"/>
      <c r="Q28" s="4"/>
      <c r="R28" s="4"/>
      <c r="S28" s="4"/>
      <c r="T28" s="4"/>
      <c r="U28" s="4"/>
      <c r="V28" s="4"/>
      <c r="W28" s="4"/>
      <c r="X28" s="4"/>
      <c r="Y28" s="4"/>
      <c r="Z28" s="4"/>
      <c r="AA28" s="4"/>
      <c r="AB28" s="4"/>
      <c r="AC28" s="4"/>
      <c r="AD28" s="4"/>
      <c r="AE28" s="4"/>
      <c r="AF28" s="4"/>
      <c r="AG28" s="4"/>
      <c r="AI28" s="4"/>
      <c r="BQ28" t="str">
        <f t="shared" si="0"/>
        <v/>
      </c>
    </row>
    <row r="29" spans="1:74" x14ac:dyDescent="0.25">
      <c r="A29" s="7">
        <v>13</v>
      </c>
      <c r="B29" s="12" t="s">
        <v>138</v>
      </c>
      <c r="C29" s="13">
        <v>41</v>
      </c>
      <c r="D29" s="17" t="s">
        <v>140</v>
      </c>
      <c r="P29" s="4"/>
      <c r="Q29" s="4"/>
      <c r="R29" s="4"/>
      <c r="S29" s="4"/>
      <c r="T29" s="4"/>
      <c r="U29" s="4"/>
      <c r="V29" s="4"/>
      <c r="W29" s="4"/>
      <c r="X29" s="4"/>
      <c r="Y29" s="4"/>
      <c r="Z29" s="4"/>
      <c r="AA29" s="4"/>
      <c r="AB29" s="4"/>
      <c r="AC29" s="4"/>
      <c r="AD29" s="4"/>
      <c r="AE29" s="4"/>
      <c r="AF29" s="4"/>
      <c r="AG29" s="4"/>
      <c r="AI29" s="4"/>
      <c r="BQ29" t="str">
        <f t="shared" si="0"/>
        <v/>
      </c>
    </row>
    <row r="30" spans="1:74" x14ac:dyDescent="0.25">
      <c r="A30" s="7">
        <v>14</v>
      </c>
      <c r="B30" s="12" t="s">
        <v>139</v>
      </c>
      <c r="C30" s="13">
        <v>42</v>
      </c>
      <c r="D30" s="17" t="s">
        <v>141</v>
      </c>
      <c r="P30" s="4"/>
      <c r="Q30" s="4"/>
      <c r="R30" s="4"/>
      <c r="S30" s="4"/>
      <c r="T30" s="4"/>
      <c r="U30" s="4"/>
      <c r="V30" s="4"/>
      <c r="W30" s="4"/>
      <c r="X30" s="4"/>
      <c r="Y30" s="4"/>
      <c r="Z30" s="4"/>
      <c r="AA30" s="4"/>
      <c r="AB30" s="4"/>
      <c r="AC30" s="4"/>
      <c r="AD30" s="4"/>
      <c r="AE30" s="4"/>
      <c r="AF30" s="4"/>
      <c r="AG30" s="4"/>
      <c r="AI30" s="4"/>
      <c r="BQ30" t="str">
        <f t="shared" si="0"/>
        <v/>
      </c>
    </row>
    <row r="31" spans="1:74" x14ac:dyDescent="0.25">
      <c r="A31" s="7">
        <v>15</v>
      </c>
      <c r="B31" s="12" t="s">
        <v>142</v>
      </c>
      <c r="C31" s="13">
        <v>43</v>
      </c>
      <c r="D31" s="17" t="s">
        <v>38</v>
      </c>
      <c r="P31" s="4"/>
      <c r="Q31" s="4"/>
      <c r="R31" s="4"/>
      <c r="S31" s="4"/>
      <c r="T31" s="4"/>
      <c r="U31" s="4"/>
      <c r="V31" s="4"/>
      <c r="W31" s="4"/>
      <c r="X31" s="4"/>
      <c r="Y31" s="4"/>
      <c r="Z31" s="4"/>
      <c r="AA31" s="4"/>
      <c r="AB31" s="4"/>
      <c r="AC31" s="4"/>
      <c r="AD31" s="4"/>
      <c r="AE31" s="4"/>
      <c r="AF31" s="4"/>
      <c r="AG31" s="4"/>
      <c r="AI31" s="4"/>
      <c r="BQ31" t="str">
        <f t="shared" ref="BQ31:BQ41" si="1">CONCATENATE(BP10,BQ10)</f>
        <v/>
      </c>
    </row>
    <row r="32" spans="1:74" ht="15.75" thickBot="1" x14ac:dyDescent="0.3">
      <c r="A32" s="7">
        <v>16</v>
      </c>
      <c r="G32" s="36">
        <v>1451000136</v>
      </c>
      <c r="H32" s="37" t="s">
        <v>75</v>
      </c>
      <c r="P32" s="4"/>
      <c r="Q32" s="4"/>
      <c r="R32" s="4"/>
      <c r="S32" s="4"/>
      <c r="T32" s="4"/>
      <c r="U32" s="4"/>
      <c r="V32" s="4"/>
      <c r="W32" s="4"/>
      <c r="X32" s="4"/>
      <c r="Y32" s="4"/>
      <c r="Z32" s="4"/>
      <c r="AA32" s="4"/>
      <c r="AB32" s="4"/>
      <c r="AC32" s="4"/>
      <c r="AD32" s="4"/>
      <c r="AE32" s="4"/>
      <c r="AF32" s="4"/>
      <c r="AG32" s="4"/>
      <c r="AI32" s="4"/>
      <c r="BQ32" t="str">
        <f t="shared" si="1"/>
        <v/>
      </c>
    </row>
    <row r="33" spans="1:69" ht="15.75" thickBot="1" x14ac:dyDescent="0.3">
      <c r="A33" s="7">
        <v>17</v>
      </c>
      <c r="G33" s="36">
        <v>1330180077</v>
      </c>
      <c r="H33" s="37" t="s">
        <v>76</v>
      </c>
      <c r="P33" s="4"/>
      <c r="Q33" s="4"/>
      <c r="R33" s="4"/>
      <c r="S33" s="4"/>
      <c r="T33" s="4"/>
      <c r="U33" s="4"/>
      <c r="V33" s="4"/>
      <c r="W33" s="4"/>
      <c r="X33" s="4"/>
      <c r="Y33" s="4"/>
      <c r="Z33" s="4"/>
      <c r="AA33" s="4"/>
      <c r="AB33" s="4"/>
      <c r="AC33" s="4"/>
      <c r="AD33" s="4"/>
      <c r="AE33" s="4"/>
      <c r="AF33" s="4"/>
      <c r="AG33" s="4"/>
      <c r="AI33" s="4"/>
      <c r="BQ33" t="str">
        <f t="shared" si="1"/>
        <v/>
      </c>
    </row>
    <row r="34" spans="1:69" ht="15.75" thickBot="1" x14ac:dyDescent="0.3">
      <c r="A34" s="7">
        <v>18</v>
      </c>
      <c r="G34" s="36">
        <v>1330180074</v>
      </c>
      <c r="H34" s="37">
        <f>22</f>
        <v>22</v>
      </c>
      <c r="P34" s="4"/>
      <c r="Q34" s="4"/>
      <c r="R34" s="4"/>
      <c r="S34" s="4"/>
      <c r="T34" s="4"/>
      <c r="U34" s="4"/>
      <c r="V34" s="4"/>
      <c r="W34" s="4"/>
      <c r="X34" s="4"/>
      <c r="Y34" s="4"/>
      <c r="Z34" s="4"/>
      <c r="AA34" s="4"/>
      <c r="AB34" s="4"/>
      <c r="AC34" s="4"/>
      <c r="AD34" s="4"/>
      <c r="AE34" s="4"/>
      <c r="AF34" s="4"/>
      <c r="AG34" s="4"/>
      <c r="AI34" s="4"/>
      <c r="BQ34" t="str">
        <f t="shared" si="1"/>
        <v/>
      </c>
    </row>
    <row r="35" spans="1:69" ht="15.75"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E35" s="4"/>
      <c r="AF35" s="4"/>
      <c r="AG35" s="4"/>
      <c r="AI35" s="4"/>
      <c r="BQ35" t="str">
        <f t="shared" si="1"/>
        <v/>
      </c>
    </row>
    <row r="36" spans="1:69" ht="15.75"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E36" s="4"/>
      <c r="AF36" s="4"/>
      <c r="AG36" s="4"/>
      <c r="AI36" s="4"/>
      <c r="BQ36" t="str">
        <f t="shared" si="1"/>
        <v/>
      </c>
    </row>
    <row r="37" spans="1:69" ht="15.75"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E37" s="4"/>
      <c r="AF37" s="4"/>
      <c r="AG37" s="4"/>
      <c r="AI37" s="4"/>
      <c r="BQ37" t="str">
        <f t="shared" si="1"/>
        <v/>
      </c>
    </row>
    <row r="38" spans="1:69" ht="15.75"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E38" s="4"/>
      <c r="AF38" s="4"/>
      <c r="AG38" s="4"/>
      <c r="AI38" s="4"/>
      <c r="BQ38" t="str">
        <f t="shared" si="1"/>
        <v/>
      </c>
    </row>
    <row r="39" spans="1:69" ht="15.75"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E39" s="4"/>
      <c r="AF39" s="4"/>
      <c r="AG39" s="4"/>
      <c r="AI39" s="4"/>
      <c r="BQ39" t="str">
        <f t="shared" si="1"/>
        <v/>
      </c>
    </row>
    <row r="40" spans="1:69" ht="15.75"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E40" s="4"/>
      <c r="AF40" s="4"/>
      <c r="AG40" s="4"/>
      <c r="AI40" s="4"/>
      <c r="BQ40" t="str">
        <f t="shared" si="1"/>
        <v/>
      </c>
    </row>
    <row r="41" spans="1:69" x14ac:dyDescent="0.25">
      <c r="A41" s="7">
        <v>25</v>
      </c>
      <c r="B41" s="12"/>
      <c r="C41" s="13"/>
      <c r="D41" s="12"/>
      <c r="P41" s="4"/>
      <c r="Q41" s="4"/>
      <c r="R41" s="4"/>
      <c r="S41" s="4"/>
      <c r="T41" s="4"/>
      <c r="U41" s="4"/>
      <c r="V41" s="4"/>
      <c r="W41" s="4"/>
      <c r="X41" s="4"/>
      <c r="Y41" s="4"/>
      <c r="Z41" s="4"/>
      <c r="AA41" s="4"/>
      <c r="AB41" s="4"/>
      <c r="AC41" s="4"/>
      <c r="AD41" s="4"/>
      <c r="AE41" s="4"/>
      <c r="AF41" s="4"/>
      <c r="AG41" s="4"/>
      <c r="AI41" s="4"/>
      <c r="BQ41" t="str">
        <f t="shared" si="1"/>
        <v/>
      </c>
    </row>
    <row r="42" spans="1:69" x14ac:dyDescent="0.25">
      <c r="A42" s="7">
        <v>26</v>
      </c>
      <c r="B42" s="12"/>
      <c r="C42" s="13"/>
      <c r="D42" s="12"/>
      <c r="P42" s="4"/>
      <c r="Q42" s="4"/>
      <c r="R42" s="4"/>
      <c r="S42" s="4"/>
      <c r="T42" s="4"/>
      <c r="U42" s="4"/>
      <c r="V42" s="4"/>
      <c r="W42" s="4"/>
      <c r="X42" s="4"/>
      <c r="Y42" s="4"/>
      <c r="Z42" s="4"/>
      <c r="AA42" s="4"/>
      <c r="AB42" s="4"/>
      <c r="AC42" s="4"/>
      <c r="AD42" s="4"/>
      <c r="AE42" s="4"/>
      <c r="AF42" s="4"/>
      <c r="AG42" s="4"/>
      <c r="AI42" s="4"/>
    </row>
    <row r="43" spans="1:69" x14ac:dyDescent="0.25">
      <c r="A43" s="7">
        <v>27</v>
      </c>
      <c r="B43" s="12"/>
      <c r="C43" s="13"/>
      <c r="D43" s="12"/>
      <c r="P43" s="4"/>
      <c r="Q43" s="4"/>
      <c r="R43" s="4"/>
      <c r="S43" s="4"/>
      <c r="T43" s="4"/>
      <c r="U43" s="4"/>
      <c r="V43" s="4"/>
      <c r="W43" s="4"/>
      <c r="X43" s="4"/>
      <c r="Y43" s="4"/>
      <c r="Z43" s="4"/>
      <c r="AA43" s="4"/>
      <c r="AB43" s="4"/>
      <c r="AC43" s="4"/>
      <c r="AD43" s="4"/>
      <c r="AE43" s="4"/>
      <c r="AF43" s="4"/>
      <c r="AG43" s="4"/>
      <c r="AI43" s="4"/>
    </row>
    <row r="44" spans="1:69" x14ac:dyDescent="0.25">
      <c r="A44" s="7">
        <v>28</v>
      </c>
      <c r="B44" s="12"/>
      <c r="C44" s="13"/>
      <c r="D44" s="12"/>
      <c r="P44" s="4"/>
      <c r="Q44" s="4"/>
      <c r="R44" s="4"/>
      <c r="S44" s="4"/>
      <c r="T44" s="4"/>
      <c r="U44" s="4"/>
      <c r="V44" s="4"/>
      <c r="W44" s="4"/>
      <c r="X44" s="4"/>
      <c r="Y44" s="4"/>
      <c r="Z44" s="4"/>
      <c r="AA44" s="4"/>
      <c r="AB44" s="4"/>
      <c r="AC44" s="4"/>
      <c r="AD44" s="4"/>
      <c r="AE44" s="4"/>
      <c r="AF44" s="4"/>
      <c r="AG44" s="4"/>
      <c r="AI44" s="4"/>
    </row>
    <row r="45" spans="1:69" x14ac:dyDescent="0.25">
      <c r="A45" s="7">
        <v>29</v>
      </c>
      <c r="B45" s="12"/>
      <c r="C45" s="13"/>
      <c r="D45" s="12"/>
      <c r="P45" s="4"/>
      <c r="Q45" s="4"/>
      <c r="R45" s="4"/>
      <c r="S45" s="4"/>
      <c r="T45" s="4"/>
      <c r="U45" s="4"/>
      <c r="V45" s="4"/>
      <c r="W45" s="4"/>
      <c r="X45" s="4"/>
      <c r="Y45" s="4"/>
      <c r="Z45" s="4"/>
      <c r="AA45" s="4"/>
      <c r="AB45" s="4"/>
      <c r="AC45" s="4"/>
      <c r="AD45" s="4"/>
      <c r="AE45" s="4"/>
      <c r="AF45" s="4"/>
      <c r="AG45" s="4"/>
      <c r="AI45" s="4"/>
    </row>
    <row r="46" spans="1:69" x14ac:dyDescent="0.25">
      <c r="A46" s="7">
        <v>30</v>
      </c>
      <c r="B46" s="12"/>
      <c r="C46" s="13"/>
      <c r="D46" s="12"/>
      <c r="P46" s="4"/>
      <c r="Q46" s="4"/>
      <c r="R46" s="4"/>
      <c r="S46" s="4"/>
      <c r="T46" s="4"/>
      <c r="U46" s="4"/>
      <c r="V46" s="4"/>
      <c r="W46" s="4"/>
      <c r="X46" s="4"/>
      <c r="Y46" s="4"/>
      <c r="Z46" s="4"/>
      <c r="AA46" s="4"/>
      <c r="AB46" s="4"/>
      <c r="AC46" s="4"/>
      <c r="AD46" s="4"/>
      <c r="AE46" s="4"/>
      <c r="AF46" s="4"/>
      <c r="AG46" s="4"/>
      <c r="AI46" s="4"/>
    </row>
    <row r="47" spans="1:69" x14ac:dyDescent="0.25">
      <c r="A47" s="7">
        <v>31</v>
      </c>
      <c r="B47" s="12"/>
      <c r="C47" s="13"/>
      <c r="D47" s="12"/>
    </row>
    <row r="48" spans="1:69"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87</v>
      </c>
      <c r="B70" s="24" t="s">
        <v>89</v>
      </c>
    </row>
    <row r="71" spans="1:4" x14ac:dyDescent="0.25">
      <c r="A71" s="23" t="s">
        <v>88</v>
      </c>
      <c r="B71" s="40" t="s">
        <v>90</v>
      </c>
    </row>
    <row r="72" spans="1:4" x14ac:dyDescent="0.25">
      <c r="A72" s="23"/>
      <c r="B72" s="40" t="s">
        <v>86</v>
      </c>
    </row>
    <row r="73" spans="1:4" x14ac:dyDescent="0.25">
      <c r="A73" s="23"/>
      <c r="B73" s="40" t="s">
        <v>91</v>
      </c>
    </row>
    <row r="74" spans="1:4" x14ac:dyDescent="0.25">
      <c r="A74" s="23"/>
      <c r="B74" s="24" t="s">
        <v>89</v>
      </c>
    </row>
    <row r="75" spans="1:4" x14ac:dyDescent="0.25">
      <c r="A75" s="23"/>
      <c r="B75" s="24" t="s">
        <v>90</v>
      </c>
    </row>
    <row r="76" spans="1:4" x14ac:dyDescent="0.25">
      <c r="A76" s="23"/>
      <c r="B76" s="24" t="s">
        <v>86</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002"/>
  <sheetViews>
    <sheetView workbookViewId="0"/>
  </sheetViews>
  <sheetFormatPr defaultRowHeight="15" x14ac:dyDescent="0.25"/>
  <cols>
    <col min="1" max="1" width="11" bestFit="1" customWidth="1"/>
    <col min="2" max="2" width="7" customWidth="1"/>
    <col min="3" max="3" width="11.5703125" customWidth="1"/>
    <col min="4" max="4" width="13.140625" bestFit="1" customWidth="1"/>
    <col min="5" max="5" width="5" bestFit="1" customWidth="1"/>
    <col min="6" max="6" width="5.85546875" bestFit="1" customWidth="1"/>
    <col min="7" max="7" width="20.140625" customWidth="1"/>
    <col min="8" max="8" width="8.140625" bestFit="1" customWidth="1"/>
    <col min="9" max="10" width="9" bestFit="1" customWidth="1"/>
    <col min="11" max="11" width="10.7109375" bestFit="1" customWidth="1"/>
    <col min="12" max="12" width="14.5703125" customWidth="1"/>
    <col min="13" max="13" width="17.28515625" bestFit="1" customWidth="1"/>
    <col min="14" max="15" width="5"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37" max="37" width="9.42578125" bestFit="1" customWidth="1"/>
    <col min="44" max="44" width="33.85546875" bestFit="1" customWidth="1"/>
    <col min="45" max="45" width="17.28515625" bestFit="1" customWidth="1"/>
  </cols>
  <sheetData>
    <row r="1" spans="1:70"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70" x14ac:dyDescent="0.25">
      <c r="A2" s="1"/>
      <c r="B2" s="1"/>
      <c r="C2" s="1"/>
      <c r="D2" s="1"/>
      <c r="E2" s="1"/>
      <c r="F2" s="1"/>
      <c r="G2" s="1"/>
      <c r="H2" s="1"/>
      <c r="I2" s="1"/>
      <c r="J2" s="1"/>
      <c r="K2" s="1"/>
      <c r="L2" s="1"/>
      <c r="M2" s="1"/>
      <c r="N2" s="1"/>
      <c r="O2" s="1"/>
      <c r="P2" s="1"/>
      <c r="Q2" s="1"/>
      <c r="R2" s="1"/>
      <c r="S2" s="1"/>
      <c r="T2" s="1"/>
      <c r="U2" s="1"/>
    </row>
    <row r="3" spans="1:70" x14ac:dyDescent="0.25">
      <c r="A3" s="1" t="s">
        <v>29</v>
      </c>
      <c r="B3" s="1" t="s">
        <v>185</v>
      </c>
      <c r="C3" s="1" t="s">
        <v>93</v>
      </c>
      <c r="D3" s="1" t="s">
        <v>165</v>
      </c>
      <c r="E3" s="1" t="s">
        <v>172</v>
      </c>
      <c r="F3" s="1" t="s">
        <v>169</v>
      </c>
      <c r="G3" s="1" t="s">
        <v>186</v>
      </c>
      <c r="H3" s="1" t="s">
        <v>99</v>
      </c>
      <c r="I3" s="1" t="s">
        <v>159</v>
      </c>
      <c r="J3" s="1" t="s">
        <v>160</v>
      </c>
      <c r="K3" s="1" t="s">
        <v>155</v>
      </c>
      <c r="L3" s="1" t="s">
        <v>132</v>
      </c>
      <c r="M3" s="1" t="s">
        <v>186</v>
      </c>
      <c r="N3" s="1" t="s">
        <v>107</v>
      </c>
      <c r="O3" s="1" t="s">
        <v>108</v>
      </c>
      <c r="P3" s="1" t="s">
        <v>111</v>
      </c>
      <c r="Q3" s="1" t="s">
        <v>111</v>
      </c>
      <c r="R3" s="1" t="s">
        <v>175</v>
      </c>
      <c r="S3" s="1" t="s">
        <v>175</v>
      </c>
      <c r="T3" s="1" t="s">
        <v>175</v>
      </c>
      <c r="U3" s="1" t="s">
        <v>170</v>
      </c>
      <c r="V3" s="1" t="s">
        <v>170</v>
      </c>
      <c r="W3" s="43" t="s">
        <v>170</v>
      </c>
      <c r="X3" s="43" t="s">
        <v>125</v>
      </c>
      <c r="Y3" s="1" t="s">
        <v>170</v>
      </c>
      <c r="Z3" s="1" t="s">
        <v>118</v>
      </c>
      <c r="AA3" s="1" t="s">
        <v>118</v>
      </c>
      <c r="AB3" s="1" t="s">
        <v>126</v>
      </c>
      <c r="AC3" s="1" t="s">
        <v>126</v>
      </c>
      <c r="AD3" s="1" t="s">
        <v>127</v>
      </c>
      <c r="AE3" s="1" t="s">
        <v>118</v>
      </c>
      <c r="AF3" s="1" t="s">
        <v>129</v>
      </c>
      <c r="AG3" s="1" t="s">
        <v>47</v>
      </c>
      <c r="AH3" s="1" t="s">
        <v>132</v>
      </c>
      <c r="AI3" s="1" t="s">
        <v>145</v>
      </c>
      <c r="AJ3" s="1" t="s">
        <v>132</v>
      </c>
      <c r="AK3" s="1" t="s">
        <v>129</v>
      </c>
      <c r="AL3" s="1" t="s">
        <v>136</v>
      </c>
      <c r="AM3" s="1" t="s">
        <v>99</v>
      </c>
      <c r="AN3" s="1" t="s">
        <v>39</v>
      </c>
      <c r="AO3" s="1" t="s">
        <v>140</v>
      </c>
      <c r="AP3" s="1" t="s">
        <v>141</v>
      </c>
      <c r="AQ3" s="1" t="s">
        <v>38</v>
      </c>
      <c r="AR3" s="1" t="s">
        <v>150</v>
      </c>
      <c r="AS3" s="1" t="s">
        <v>151</v>
      </c>
      <c r="AT3" s="1" t="s">
        <v>136</v>
      </c>
    </row>
    <row r="4" spans="1:70" x14ac:dyDescent="0.25">
      <c r="A4" s="1" t="s">
        <v>29</v>
      </c>
      <c r="B4" s="1" t="s">
        <v>185</v>
      </c>
      <c r="C4" s="1" t="s">
        <v>93</v>
      </c>
      <c r="D4" s="1" t="s">
        <v>166</v>
      </c>
      <c r="E4" s="1" t="s">
        <v>173</v>
      </c>
      <c r="F4" s="1" t="s">
        <v>181</v>
      </c>
      <c r="G4" s="1" t="s">
        <v>187</v>
      </c>
      <c r="H4" s="1" t="s">
        <v>99</v>
      </c>
      <c r="I4" s="1" t="s">
        <v>161</v>
      </c>
      <c r="J4" s="1" t="s">
        <v>162</v>
      </c>
      <c r="K4" s="1" t="s">
        <v>155</v>
      </c>
      <c r="L4" s="1" t="s">
        <v>132</v>
      </c>
      <c r="M4" s="1" t="s">
        <v>187</v>
      </c>
      <c r="N4" s="1" t="s">
        <v>107</v>
      </c>
      <c r="O4" s="1" t="s">
        <v>108</v>
      </c>
      <c r="P4" s="1" t="s">
        <v>111</v>
      </c>
      <c r="Q4" s="1" t="s">
        <v>111</v>
      </c>
      <c r="R4" s="1" t="s">
        <v>175</v>
      </c>
      <c r="S4" s="1" t="s">
        <v>175</v>
      </c>
      <c r="T4" s="1" t="s">
        <v>175</v>
      </c>
      <c r="U4" s="1" t="s">
        <v>170</v>
      </c>
      <c r="V4" s="1" t="s">
        <v>170</v>
      </c>
      <c r="W4" s="1" t="s">
        <v>170</v>
      </c>
      <c r="X4" s="43" t="s">
        <v>125</v>
      </c>
      <c r="Y4" s="1" t="s">
        <v>170</v>
      </c>
      <c r="Z4" s="1" t="s">
        <v>118</v>
      </c>
      <c r="AA4" s="1" t="s">
        <v>118</v>
      </c>
      <c r="AB4" s="1" t="s">
        <v>126</v>
      </c>
      <c r="AC4" s="1" t="s">
        <v>126</v>
      </c>
      <c r="AD4" s="1" t="s">
        <v>127</v>
      </c>
      <c r="AE4" s="1" t="s">
        <v>118</v>
      </c>
      <c r="AF4" s="1" t="s">
        <v>129</v>
      </c>
      <c r="AG4" s="1" t="s">
        <v>47</v>
      </c>
      <c r="AH4" s="1" t="s">
        <v>132</v>
      </c>
      <c r="AI4" s="1" t="s">
        <v>145</v>
      </c>
      <c r="AJ4" s="1" t="s">
        <v>183</v>
      </c>
      <c r="AK4" s="1" t="s">
        <v>182</v>
      </c>
      <c r="AL4" s="1" t="s">
        <v>136</v>
      </c>
      <c r="AM4" s="1" t="s">
        <v>99</v>
      </c>
      <c r="AN4" s="1" t="s">
        <v>39</v>
      </c>
      <c r="AO4" s="1" t="s">
        <v>140</v>
      </c>
      <c r="AP4" s="1" t="s">
        <v>141</v>
      </c>
      <c r="AQ4" s="1" t="s">
        <v>38</v>
      </c>
      <c r="AR4" s="1" t="s">
        <v>150</v>
      </c>
      <c r="AS4" s="1" t="s">
        <v>151</v>
      </c>
      <c r="AT4" s="1" t="s">
        <v>136</v>
      </c>
      <c r="BN4" s="1"/>
      <c r="BR4" s="1"/>
    </row>
    <row r="5" spans="1:70" x14ac:dyDescent="0.25">
      <c r="A5" s="1" t="s">
        <v>29</v>
      </c>
      <c r="B5" s="1" t="s">
        <v>185</v>
      </c>
      <c r="C5" s="1" t="s">
        <v>93</v>
      </c>
      <c r="D5" s="1" t="s">
        <v>167</v>
      </c>
      <c r="E5" s="1" t="s">
        <v>174</v>
      </c>
      <c r="F5" s="1" t="s">
        <v>171</v>
      </c>
      <c r="G5" s="1" t="s">
        <v>188</v>
      </c>
      <c r="H5" s="1" t="s">
        <v>99</v>
      </c>
      <c r="I5" s="1" t="s">
        <v>163</v>
      </c>
      <c r="J5" s="1" t="s">
        <v>164</v>
      </c>
      <c r="K5" s="1" t="s">
        <v>155</v>
      </c>
      <c r="L5" s="1" t="s">
        <v>132</v>
      </c>
      <c r="M5" s="1" t="s">
        <v>188</v>
      </c>
      <c r="N5" s="1" t="s">
        <v>107</v>
      </c>
      <c r="O5" s="1" t="s">
        <v>108</v>
      </c>
      <c r="P5" s="1" t="s">
        <v>111</v>
      </c>
      <c r="Q5" s="1" t="s">
        <v>111</v>
      </c>
      <c r="R5" s="1" t="s">
        <v>175</v>
      </c>
      <c r="S5" s="1" t="s">
        <v>175</v>
      </c>
      <c r="T5" s="1" t="s">
        <v>175</v>
      </c>
      <c r="U5" s="1" t="s">
        <v>170</v>
      </c>
      <c r="V5" s="1" t="s">
        <v>170</v>
      </c>
      <c r="W5" s="1" t="s">
        <v>170</v>
      </c>
      <c r="X5" s="43" t="s">
        <v>125</v>
      </c>
      <c r="Y5" s="1" t="s">
        <v>170</v>
      </c>
      <c r="Z5" s="1" t="s">
        <v>118</v>
      </c>
      <c r="AA5" s="1" t="s">
        <v>118</v>
      </c>
      <c r="AB5" s="1" t="s">
        <v>126</v>
      </c>
      <c r="AC5" s="1" t="s">
        <v>126</v>
      </c>
      <c r="AD5" s="1" t="s">
        <v>127</v>
      </c>
      <c r="AE5" s="1" t="s">
        <v>118</v>
      </c>
      <c r="AF5" s="1" t="s">
        <v>129</v>
      </c>
      <c r="AG5" s="1" t="s">
        <v>47</v>
      </c>
      <c r="AH5" s="1" t="s">
        <v>132</v>
      </c>
      <c r="AI5" s="1" t="s">
        <v>145</v>
      </c>
      <c r="AJ5" s="1" t="s">
        <v>183</v>
      </c>
      <c r="AK5" s="1" t="s">
        <v>184</v>
      </c>
      <c r="AL5" s="1" t="s">
        <v>136</v>
      </c>
      <c r="AM5" s="1" t="s">
        <v>99</v>
      </c>
      <c r="AN5" s="1" t="s">
        <v>39</v>
      </c>
      <c r="AO5" s="1" t="s">
        <v>140</v>
      </c>
      <c r="AP5" s="1" t="s">
        <v>141</v>
      </c>
      <c r="AQ5" s="1" t="s">
        <v>38</v>
      </c>
      <c r="AR5" s="1" t="s">
        <v>150</v>
      </c>
      <c r="AS5" s="1" t="s">
        <v>151</v>
      </c>
      <c r="AT5" s="1" t="s">
        <v>136</v>
      </c>
      <c r="BN5" s="1"/>
      <c r="BR5" s="1"/>
    </row>
    <row r="6" spans="1:70" x14ac:dyDescent="0.25">
      <c r="A6" s="1"/>
      <c r="B6" s="1"/>
      <c r="C6" s="1"/>
      <c r="D6" s="1"/>
      <c r="E6" s="1"/>
      <c r="F6" s="1"/>
      <c r="G6" s="1"/>
      <c r="H6" s="1"/>
      <c r="I6" s="1"/>
      <c r="J6" s="1"/>
      <c r="K6" s="1"/>
      <c r="L6" s="1"/>
      <c r="M6" s="1"/>
      <c r="N6" s="1"/>
      <c r="O6" s="1"/>
      <c r="P6" s="1"/>
      <c r="Q6" s="1"/>
      <c r="R6" s="1"/>
      <c r="S6" s="1"/>
      <c r="T6" s="1"/>
      <c r="U6" s="1"/>
      <c r="V6" s="1"/>
      <c r="W6" s="1"/>
      <c r="X6" s="43"/>
      <c r="Y6" s="1"/>
      <c r="Z6" s="1"/>
      <c r="AA6" s="1"/>
      <c r="AB6" s="1"/>
      <c r="AC6" s="1"/>
      <c r="AD6" s="1"/>
      <c r="AE6" s="1"/>
      <c r="AF6" s="1"/>
      <c r="AG6" s="1"/>
      <c r="AH6" s="1"/>
      <c r="AI6" s="1"/>
      <c r="AJ6" s="1"/>
      <c r="AK6" s="1"/>
      <c r="AL6" s="1"/>
      <c r="AM6" s="1"/>
      <c r="AN6" s="1"/>
      <c r="AO6" s="1"/>
      <c r="AP6" s="1"/>
      <c r="AQ6" s="1"/>
      <c r="AR6" s="1"/>
      <c r="AS6" s="1"/>
      <c r="AT6" s="1"/>
      <c r="BN6" s="1"/>
      <c r="BR6" s="1"/>
    </row>
    <row r="7" spans="1:70" x14ac:dyDescent="0.25">
      <c r="A7" s="1"/>
      <c r="B7" s="1"/>
      <c r="C7" s="1"/>
      <c r="D7" s="1"/>
      <c r="E7" s="1"/>
      <c r="F7" s="1"/>
      <c r="G7" s="1"/>
      <c r="H7" s="1"/>
      <c r="I7" s="1"/>
      <c r="J7" s="1"/>
      <c r="K7" s="1"/>
      <c r="L7" s="1"/>
      <c r="M7" s="1"/>
      <c r="N7" s="1"/>
      <c r="O7" s="1"/>
      <c r="P7" s="1"/>
      <c r="Q7" s="1"/>
      <c r="R7" s="1"/>
      <c r="S7" s="1"/>
      <c r="T7" s="1"/>
      <c r="U7" s="1"/>
      <c r="V7" s="1"/>
      <c r="W7" s="1"/>
      <c r="X7" s="43"/>
      <c r="Y7" s="1"/>
      <c r="Z7" s="1"/>
      <c r="AA7" s="1"/>
      <c r="AB7" s="1"/>
      <c r="AC7" s="1"/>
      <c r="AD7" s="1"/>
      <c r="AE7" s="1"/>
      <c r="AF7" s="1"/>
      <c r="AG7" s="1"/>
      <c r="AH7" s="1"/>
      <c r="AI7" s="1"/>
      <c r="AJ7" s="1"/>
      <c r="AK7" s="1"/>
      <c r="AL7" s="1"/>
      <c r="AM7" s="1"/>
      <c r="AN7" s="1"/>
      <c r="AO7" s="1"/>
      <c r="AP7" s="1"/>
      <c r="AQ7" s="1"/>
      <c r="AR7" s="1"/>
      <c r="AS7" s="1"/>
      <c r="AT7" s="1"/>
      <c r="BN7" s="1"/>
      <c r="BR7" s="1"/>
    </row>
    <row r="8" spans="1:70" x14ac:dyDescent="0.25">
      <c r="A8" s="1"/>
      <c r="B8" s="1"/>
      <c r="C8" s="1"/>
      <c r="D8" s="1"/>
      <c r="E8" s="1"/>
      <c r="F8" s="1"/>
      <c r="G8" s="1"/>
      <c r="H8" s="1"/>
      <c r="I8" s="1"/>
      <c r="J8" s="1"/>
      <c r="K8" s="1"/>
      <c r="L8" s="1"/>
      <c r="M8" s="1"/>
      <c r="N8" s="1"/>
      <c r="O8" s="1"/>
      <c r="P8" s="1"/>
      <c r="Q8" s="1"/>
      <c r="R8" s="1"/>
      <c r="S8" s="1"/>
      <c r="T8" s="1"/>
      <c r="U8" s="1"/>
      <c r="V8" s="1"/>
      <c r="W8" s="1"/>
      <c r="X8" s="43"/>
      <c r="Y8" s="1"/>
      <c r="Z8" s="1"/>
      <c r="AA8" s="1"/>
      <c r="AB8" s="1"/>
      <c r="AC8" s="1"/>
      <c r="AD8" s="1"/>
      <c r="AE8" s="1"/>
      <c r="AF8" s="1"/>
      <c r="AG8" s="1"/>
      <c r="AH8" s="1"/>
      <c r="AI8" s="1"/>
      <c r="AJ8" s="1"/>
      <c r="AK8" s="1"/>
      <c r="AL8" s="1"/>
      <c r="AM8" s="1"/>
      <c r="AN8" s="1"/>
      <c r="AO8" s="1"/>
      <c r="AP8" s="1"/>
      <c r="AQ8" s="1"/>
      <c r="AR8" s="1"/>
      <c r="AS8" s="1"/>
      <c r="AT8" s="1"/>
      <c r="BN8" s="1"/>
      <c r="BR8" s="1"/>
    </row>
    <row r="9" spans="1:70" x14ac:dyDescent="0.25">
      <c r="A9" s="1"/>
      <c r="B9" s="1"/>
      <c r="C9" s="1"/>
      <c r="D9" s="1"/>
      <c r="E9" s="1"/>
      <c r="F9" s="1"/>
      <c r="G9" s="1"/>
      <c r="H9" s="1"/>
      <c r="I9" s="1"/>
      <c r="J9" s="1"/>
      <c r="K9" s="1"/>
      <c r="L9" s="1"/>
      <c r="M9" s="1"/>
      <c r="N9" s="1"/>
      <c r="O9" s="1"/>
      <c r="P9" s="1"/>
      <c r="Q9" s="1"/>
      <c r="R9" s="1"/>
      <c r="S9" s="1"/>
      <c r="T9" s="1"/>
      <c r="U9" s="1"/>
      <c r="V9" s="1"/>
      <c r="W9" s="1"/>
      <c r="X9" s="43"/>
      <c r="Y9" s="1"/>
      <c r="Z9" s="1"/>
      <c r="AA9" s="1"/>
      <c r="AB9" s="1"/>
      <c r="AC9" s="1"/>
      <c r="AD9" s="1"/>
      <c r="AE9" s="1"/>
      <c r="AF9" s="1"/>
      <c r="AG9" s="1"/>
      <c r="AH9" s="1"/>
      <c r="AI9" s="1"/>
      <c r="AJ9" s="1"/>
      <c r="AK9" s="26"/>
      <c r="AL9" s="1"/>
      <c r="AM9" s="1"/>
      <c r="AN9" s="1"/>
      <c r="AO9" s="1"/>
      <c r="AP9" s="1"/>
      <c r="AQ9" s="1"/>
      <c r="AR9" s="1"/>
      <c r="AS9" s="1"/>
      <c r="AT9" s="1"/>
    </row>
    <row r="10" spans="1:70" x14ac:dyDescent="0.25">
      <c r="A10" s="1"/>
      <c r="B10" s="1"/>
      <c r="C10" s="1"/>
      <c r="D10" s="1"/>
      <c r="E10" s="1"/>
      <c r="F10" s="1"/>
      <c r="G10" s="1"/>
      <c r="H10" s="1"/>
      <c r="I10" s="1"/>
      <c r="J10" s="1"/>
      <c r="K10" s="1"/>
      <c r="L10" s="1"/>
      <c r="M10" s="1"/>
      <c r="N10" s="1"/>
      <c r="O10" s="1"/>
      <c r="P10" s="1"/>
      <c r="Q10" s="1"/>
      <c r="R10" s="1"/>
      <c r="S10" s="1"/>
      <c r="T10" s="1"/>
      <c r="U10" s="1"/>
      <c r="V10" s="1"/>
      <c r="W10" s="1"/>
      <c r="X10" s="43"/>
      <c r="Y10" s="1"/>
      <c r="Z10" s="1"/>
      <c r="AA10" s="1"/>
      <c r="AB10" s="1"/>
      <c r="AC10" s="1"/>
      <c r="AD10" s="1"/>
      <c r="AE10" s="1"/>
      <c r="AF10" s="1"/>
      <c r="AG10" s="1"/>
      <c r="AH10" s="1"/>
      <c r="AI10" s="1"/>
      <c r="AJ10" s="1"/>
      <c r="AK10" s="26"/>
      <c r="AL10" s="1"/>
      <c r="AM10" s="1"/>
      <c r="AN10" s="1"/>
      <c r="AO10" s="1"/>
      <c r="AP10" s="1"/>
      <c r="AQ10" s="1"/>
      <c r="AR10" s="1"/>
      <c r="AS10" s="1"/>
      <c r="AT10" s="1"/>
    </row>
    <row r="11" spans="1:70"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6"/>
      <c r="AL11" s="1"/>
      <c r="AM11" s="1"/>
      <c r="AN11" s="1"/>
      <c r="AO11" s="1"/>
      <c r="AP11" s="1"/>
      <c r="AQ11" s="1"/>
      <c r="AR11" s="1"/>
      <c r="AS11" s="1"/>
      <c r="AT11" s="1"/>
    </row>
    <row r="12" spans="1:70"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6"/>
      <c r="AL12" s="1"/>
      <c r="AM12" s="1"/>
      <c r="AN12" s="1"/>
      <c r="AO12" s="1"/>
      <c r="AP12" s="1"/>
      <c r="AQ12" s="1"/>
      <c r="AR12" s="1"/>
      <c r="AS12" s="1"/>
      <c r="AT12" s="1"/>
    </row>
    <row r="13" spans="1:70"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70"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70" x14ac:dyDescent="0.25">
      <c r="A15" s="1"/>
      <c r="B15" s="1"/>
      <c r="C15" s="1"/>
      <c r="D15" s="1"/>
      <c r="E15" s="1"/>
      <c r="F15" s="1"/>
      <c r="G15" s="1"/>
      <c r="H15" s="1"/>
      <c r="I15" s="1"/>
      <c r="J15" s="1"/>
      <c r="K15" s="1"/>
      <c r="L15" s="1"/>
      <c r="M15" s="1"/>
      <c r="N15" s="1"/>
      <c r="O15" s="1"/>
      <c r="P15" s="1"/>
      <c r="Q15" s="1"/>
      <c r="R15" s="1"/>
      <c r="S15" s="1"/>
      <c r="T15" s="1"/>
      <c r="U15" s="1"/>
      <c r="V15" s="1"/>
      <c r="W15" s="44"/>
      <c r="X15" s="1"/>
      <c r="Y15" s="1"/>
      <c r="Z15" s="1"/>
      <c r="AA15" s="1"/>
      <c r="AB15" s="1"/>
      <c r="AC15" s="1"/>
      <c r="AD15" s="1"/>
      <c r="AE15" s="1"/>
      <c r="AF15" s="1"/>
      <c r="AG15" s="1"/>
      <c r="AH15" s="1"/>
      <c r="AI15" s="1"/>
      <c r="AJ15" s="1"/>
      <c r="AK15" s="1"/>
      <c r="AL15" s="1"/>
      <c r="AM15" s="1"/>
      <c r="AN15" s="1"/>
      <c r="AO15" s="1"/>
      <c r="AP15" s="1"/>
      <c r="AQ15" s="1"/>
      <c r="AR15" s="1"/>
      <c r="AS15" s="1"/>
      <c r="AT15" s="1"/>
    </row>
    <row r="16" spans="1:70" x14ac:dyDescent="0.25">
      <c r="A16" s="1"/>
      <c r="B16" s="1"/>
      <c r="C16" s="1"/>
      <c r="D16" s="1"/>
      <c r="E16" s="1"/>
      <c r="F16" s="1"/>
      <c r="G16" s="1"/>
      <c r="H16" s="1"/>
      <c r="I16" s="1"/>
      <c r="J16" s="1"/>
      <c r="K16" s="1"/>
      <c r="L16" s="1"/>
      <c r="M16" s="1"/>
      <c r="N16" s="1"/>
      <c r="O16" s="1"/>
      <c r="P16" s="1"/>
      <c r="Q16" s="1"/>
      <c r="R16" s="1"/>
      <c r="S16" s="1"/>
      <c r="T16" s="1"/>
      <c r="U16" s="1"/>
      <c r="V16" s="1"/>
      <c r="W16" s="44"/>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4"/>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row>
    <row r="504" spans="1:4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row>
    <row r="505" spans="1:4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row>
    <row r="506" spans="1:4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row>
    <row r="507" spans="1:4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row>
    <row r="508" spans="1:4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row>
    <row r="509" spans="1:4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row>
    <row r="510" spans="1:4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row>
    <row r="511" spans="1:4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row>
    <row r="512" spans="1:4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row>
    <row r="513" spans="1:4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row>
    <row r="514" spans="1:4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row>
    <row r="515" spans="1:4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row>
    <row r="516" spans="1:4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row>
    <row r="517" spans="1:4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row>
    <row r="518" spans="1:4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row>
    <row r="519" spans="1:4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row>
    <row r="520" spans="1:4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row>
    <row r="521" spans="1:4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row>
    <row r="522" spans="1:4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row>
    <row r="523" spans="1:4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row>
    <row r="524" spans="1:4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row>
    <row r="525" spans="1:4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row>
    <row r="526" spans="1:4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row>
    <row r="527" spans="1:4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row>
    <row r="528" spans="1:4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row>
    <row r="529" spans="1:4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row>
    <row r="530" spans="1:4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row>
    <row r="531" spans="1:4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row>
    <row r="532" spans="1:4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row>
    <row r="533" spans="1:4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row>
    <row r="534" spans="1:4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row>
    <row r="535" spans="1:4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row>
    <row r="536" spans="1:4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row>
    <row r="537" spans="1:4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row>
    <row r="538" spans="1:4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row>
    <row r="539" spans="1:4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row>
    <row r="540" spans="1:4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row>
    <row r="541" spans="1:4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row>
    <row r="542" spans="1:4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row>
    <row r="543" spans="1:4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row>
    <row r="544" spans="1:4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row>
    <row r="545" spans="1:4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row>
    <row r="546" spans="1:4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row>
    <row r="547" spans="1:4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row>
    <row r="548" spans="1:4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row>
    <row r="549" spans="1:4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row>
    <row r="550" spans="1:4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row>
    <row r="551" spans="1:4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row>
    <row r="552" spans="1:4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row>
    <row r="553" spans="1:4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row>
    <row r="554" spans="1:4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row>
    <row r="555" spans="1:4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row>
    <row r="556" spans="1:4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row>
    <row r="557" spans="1:4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row>
    <row r="558" spans="1:4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row>
    <row r="559" spans="1:4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row>
    <row r="560" spans="1:4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row>
    <row r="561" spans="1:4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row>
    <row r="562" spans="1:4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row>
    <row r="563" spans="1:4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row>
    <row r="564" spans="1:4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row>
    <row r="565" spans="1:4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row>
    <row r="566" spans="1:4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row>
    <row r="567" spans="1:4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row>
    <row r="568" spans="1:4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row>
    <row r="569" spans="1:4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row>
    <row r="570" spans="1:4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row>
    <row r="571" spans="1:4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row>
    <row r="572" spans="1:4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row>
    <row r="573" spans="1:4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row>
    <row r="574" spans="1:4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row>
    <row r="575" spans="1:4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row>
    <row r="576" spans="1:4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row>
    <row r="577" spans="1:4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row>
    <row r="578" spans="1:4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row>
    <row r="579" spans="1:4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row>
    <row r="580" spans="1:4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row>
    <row r="581" spans="1:4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row>
    <row r="582" spans="1:4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row>
    <row r="583" spans="1:4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row>
    <row r="584" spans="1:4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row>
    <row r="585" spans="1:4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row>
    <row r="586" spans="1:4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row>
    <row r="587" spans="1:4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row>
    <row r="588" spans="1:4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row>
    <row r="589" spans="1:4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row>
    <row r="590" spans="1:4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row>
    <row r="591" spans="1:4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row>
    <row r="592" spans="1:4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row>
    <row r="593" spans="1:4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row>
    <row r="594" spans="1:4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row>
    <row r="595" spans="1:4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row>
    <row r="596" spans="1:4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row>
    <row r="597" spans="1:4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row>
    <row r="598" spans="1:4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row>
    <row r="599" spans="1:4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row>
    <row r="600" spans="1:4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row>
    <row r="601" spans="1:4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row>
    <row r="602" spans="1:4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row>
    <row r="603" spans="1:46" x14ac:dyDescent="0.25">
      <c r="A603" s="1"/>
      <c r="B603" s="1"/>
      <c r="C603" s="1"/>
      <c r="D603" s="1"/>
      <c r="E603" s="1"/>
      <c r="F603" s="1"/>
      <c r="G603" s="1"/>
      <c r="H603" s="1"/>
      <c r="I603" s="1"/>
      <c r="J603" s="1"/>
      <c r="K603" s="1"/>
      <c r="L603" s="1"/>
      <c r="M603" s="1"/>
      <c r="N603" s="1"/>
      <c r="O603" s="1"/>
      <c r="P603" s="1"/>
      <c r="Q603" s="1"/>
      <c r="R603" s="1"/>
      <c r="S603" s="1"/>
      <c r="T603" s="1"/>
      <c r="U603" s="1"/>
    </row>
    <row r="604" spans="1:46" x14ac:dyDescent="0.25">
      <c r="A604" s="1"/>
      <c r="B604" s="1"/>
      <c r="C604" s="1"/>
      <c r="D604" s="1"/>
      <c r="E604" s="1"/>
      <c r="F604" s="1"/>
      <c r="G604" s="1"/>
      <c r="H604" s="1"/>
      <c r="I604" s="1"/>
      <c r="J604" s="1"/>
      <c r="K604" s="1"/>
      <c r="L604" s="1"/>
      <c r="M604" s="1"/>
      <c r="N604" s="1"/>
      <c r="O604" s="1"/>
      <c r="P604" s="1"/>
      <c r="Q604" s="1"/>
      <c r="R604" s="1"/>
      <c r="S604" s="1"/>
      <c r="T604" s="1"/>
      <c r="U604" s="1"/>
    </row>
    <row r="605" spans="1:46" x14ac:dyDescent="0.25">
      <c r="A605" s="1"/>
      <c r="B605" s="1"/>
      <c r="C605" s="1"/>
      <c r="D605" s="1"/>
      <c r="E605" s="1"/>
      <c r="F605" s="1"/>
      <c r="G605" s="1"/>
      <c r="H605" s="1"/>
      <c r="I605" s="1"/>
      <c r="J605" s="1"/>
      <c r="K605" s="1"/>
      <c r="L605" s="1"/>
      <c r="M605" s="1"/>
      <c r="N605" s="1"/>
      <c r="O605" s="1"/>
      <c r="P605" s="1"/>
      <c r="Q605" s="1"/>
      <c r="R605" s="1"/>
      <c r="S605" s="1"/>
      <c r="T605" s="1"/>
      <c r="U605" s="1"/>
    </row>
    <row r="606" spans="1:46" x14ac:dyDescent="0.25">
      <c r="A606" s="1"/>
      <c r="B606" s="1"/>
      <c r="C606" s="1"/>
      <c r="D606" s="1"/>
      <c r="E606" s="1"/>
      <c r="F606" s="1"/>
      <c r="G606" s="1"/>
      <c r="H606" s="1"/>
      <c r="I606" s="1"/>
      <c r="J606" s="1"/>
      <c r="K606" s="1"/>
      <c r="L606" s="1"/>
      <c r="M606" s="1"/>
      <c r="N606" s="1"/>
      <c r="O606" s="1"/>
      <c r="P606" s="1"/>
      <c r="Q606" s="1"/>
      <c r="R606" s="1"/>
      <c r="S606" s="1"/>
      <c r="T606" s="1"/>
      <c r="U606" s="1"/>
    </row>
    <row r="607" spans="1:46" x14ac:dyDescent="0.25">
      <c r="A607" s="1"/>
      <c r="B607" s="1"/>
      <c r="C607" s="1"/>
      <c r="D607" s="1"/>
      <c r="E607" s="1"/>
      <c r="F607" s="1"/>
      <c r="G607" s="1"/>
      <c r="H607" s="1"/>
      <c r="I607" s="1"/>
      <c r="J607" s="1"/>
      <c r="K607" s="1"/>
      <c r="L607" s="1"/>
      <c r="M607" s="1"/>
      <c r="N607" s="1"/>
      <c r="O607" s="1"/>
      <c r="P607" s="1"/>
      <c r="Q607" s="1"/>
      <c r="R607" s="1"/>
      <c r="S607" s="1"/>
      <c r="T607" s="1"/>
      <c r="U607" s="1"/>
    </row>
    <row r="608" spans="1:46"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D17" sqref="D17"/>
    </sheetView>
  </sheetViews>
  <sheetFormatPr defaultRowHeight="15" x14ac:dyDescent="0.25"/>
  <cols>
    <col min="1" max="1" width="14.7109375" customWidth="1"/>
  </cols>
  <sheetData>
    <row r="2" spans="1:5" x14ac:dyDescent="0.25">
      <c r="A2" s="1" t="s">
        <v>28</v>
      </c>
      <c r="B2" s="1" t="s">
        <v>189</v>
      </c>
      <c r="E2" s="1"/>
    </row>
    <row r="3" spans="1:5" x14ac:dyDescent="0.25">
      <c r="A3" t="s">
        <v>3</v>
      </c>
      <c r="B3" t="s">
        <v>21</v>
      </c>
      <c r="E3" s="1"/>
    </row>
    <row r="4" spans="1:5" x14ac:dyDescent="0.25">
      <c r="A4" s="1" t="s">
        <v>153</v>
      </c>
      <c r="B4" s="1" t="s">
        <v>190</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Inputs!C27</f>
        <v>38</v>
      </c>
    </row>
    <row r="12" spans="1:1" x14ac:dyDescent="0.25">
      <c r="A12" s="3">
        <f>Inputs!C28</f>
        <v>40</v>
      </c>
    </row>
    <row r="13" spans="1:1" x14ac:dyDescent="0.25">
      <c r="A13" s="3">
        <f>Inputs!C29</f>
        <v>41</v>
      </c>
    </row>
    <row r="14" spans="1:1" x14ac:dyDescent="0.25">
      <c r="A14" s="3">
        <f>Inputs!C30</f>
        <v>42</v>
      </c>
    </row>
    <row r="15" spans="1:1" x14ac:dyDescent="0.25">
      <c r="A15" s="3">
        <f>Inputs!C31</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Inputs!AI$2</f>
        <v>31</v>
      </c>
      <c r="D44">
        <v>2</v>
      </c>
      <c r="E44" t="s">
        <v>32</v>
      </c>
      <c r="G44" t="s">
        <v>34</v>
      </c>
      <c r="H44" s="25" t="s">
        <v>56</v>
      </c>
      <c r="I44" t="str">
        <f t="shared" ref="I44:I92" si="0">CONCATENATE("=",E44,F44,G44,H44)</f>
        <v>=Inputs!N$2</v>
      </c>
    </row>
    <row r="45" spans="1:9" x14ac:dyDescent="0.25">
      <c r="A45" s="3">
        <f>Inputs!AJ$2</f>
        <v>35</v>
      </c>
      <c r="D45">
        <v>3</v>
      </c>
      <c r="E45" t="s">
        <v>32</v>
      </c>
      <c r="G45" t="s">
        <v>35</v>
      </c>
      <c r="H45" s="25" t="s">
        <v>56</v>
      </c>
      <c r="I45" t="str">
        <f t="shared" si="0"/>
        <v>=Inputs!O$2</v>
      </c>
    </row>
    <row r="46" spans="1:9" x14ac:dyDescent="0.25">
      <c r="A46" s="3">
        <f>Inputs!AK$2</f>
        <v>39</v>
      </c>
      <c r="D46">
        <v>4</v>
      </c>
      <c r="E46" t="s">
        <v>32</v>
      </c>
      <c r="G46" t="s">
        <v>36</v>
      </c>
      <c r="H46" s="25" t="s">
        <v>56</v>
      </c>
      <c r="I46" t="str">
        <f t="shared" si="0"/>
        <v>=Inputs!P$2</v>
      </c>
    </row>
    <row r="47" spans="1:9" x14ac:dyDescent="0.25">
      <c r="A47" s="3">
        <f>Inputs!AL$2</f>
        <v>44</v>
      </c>
      <c r="D47">
        <v>5</v>
      </c>
      <c r="E47" t="s">
        <v>32</v>
      </c>
      <c r="G47" t="s">
        <v>37</v>
      </c>
      <c r="H47" s="25" t="s">
        <v>56</v>
      </c>
      <c r="I47" t="str">
        <f t="shared" si="0"/>
        <v>=Inputs!Q$2</v>
      </c>
    </row>
    <row r="48" spans="1:9" x14ac:dyDescent="0.25">
      <c r="A48" s="3">
        <f>Inputs!AM$2</f>
        <v>45</v>
      </c>
      <c r="D48">
        <v>6</v>
      </c>
      <c r="E48" t="s">
        <v>32</v>
      </c>
      <c r="G48" t="s">
        <v>38</v>
      </c>
      <c r="H48" s="25" t="s">
        <v>56</v>
      </c>
      <c r="I48" t="str">
        <f t="shared" si="0"/>
        <v>=Inputs!R$2</v>
      </c>
    </row>
    <row r="49" spans="1:9" x14ac:dyDescent="0.25">
      <c r="A49" s="3">
        <f>Inputs!AN$2</f>
        <v>46</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f>Inputs!AR$2</f>
        <v>0</v>
      </c>
      <c r="D58">
        <v>16</v>
      </c>
      <c r="E58" t="s">
        <v>32</v>
      </c>
      <c r="F58" t="s">
        <v>46</v>
      </c>
      <c r="G58" t="s">
        <v>30</v>
      </c>
      <c r="H58" s="25" t="s">
        <v>56</v>
      </c>
      <c r="I58" t="str">
        <f t="shared" si="0"/>
        <v>=Inputs!AB$2</v>
      </c>
    </row>
    <row r="59" spans="1:9" x14ac:dyDescent="0.25">
      <c r="A59" s="3">
        <f>Inputs!AS$2</f>
        <v>0</v>
      </c>
      <c r="D59">
        <v>17</v>
      </c>
      <c r="E59" t="s">
        <v>32</v>
      </c>
      <c r="F59" t="s">
        <v>46</v>
      </c>
      <c r="G59" t="s">
        <v>47</v>
      </c>
      <c r="H59" s="25" t="s">
        <v>56</v>
      </c>
      <c r="I59" t="str">
        <f t="shared" si="0"/>
        <v>=Inputs!AC$2</v>
      </c>
    </row>
    <row r="60" spans="1:9" x14ac:dyDescent="0.25">
      <c r="A60" s="3">
        <f>Inputs!AT$2</f>
        <v>0</v>
      </c>
      <c r="D60">
        <v>18</v>
      </c>
      <c r="E60" t="s">
        <v>32</v>
      </c>
      <c r="F60" t="s">
        <v>46</v>
      </c>
      <c r="G60" t="s">
        <v>29</v>
      </c>
      <c r="H60" s="25" t="s">
        <v>56</v>
      </c>
      <c r="I60" t="str">
        <f t="shared" si="0"/>
        <v>=Inputs!AD$2</v>
      </c>
    </row>
    <row r="61" spans="1:9" x14ac:dyDescent="0.25">
      <c r="A61" s="3">
        <f>Inputs!AU$2</f>
        <v>0</v>
      </c>
      <c r="D61">
        <v>19</v>
      </c>
      <c r="E61" t="s">
        <v>32</v>
      </c>
      <c r="F61" t="s">
        <v>46</v>
      </c>
      <c r="G61" t="s">
        <v>48</v>
      </c>
      <c r="H61" s="25" t="s">
        <v>56</v>
      </c>
      <c r="I61" t="str">
        <f t="shared" si="0"/>
        <v>=Inputs!AE$2</v>
      </c>
    </row>
    <row r="62" spans="1:9" x14ac:dyDescent="0.25">
      <c r="A62" s="3">
        <f>Inputs!AV$2</f>
        <v>0</v>
      </c>
      <c r="D62">
        <v>20</v>
      </c>
      <c r="E62" t="s">
        <v>32</v>
      </c>
      <c r="F62" t="s">
        <v>46</v>
      </c>
      <c r="G62" t="s">
        <v>49</v>
      </c>
      <c r="H62" s="25" t="s">
        <v>56</v>
      </c>
      <c r="I62" t="str">
        <f t="shared" si="0"/>
        <v>=Inputs!AF$2</v>
      </c>
    </row>
    <row r="63" spans="1:9" x14ac:dyDescent="0.25">
      <c r="A63" s="3">
        <f>Inputs!AW$2</f>
        <v>0</v>
      </c>
      <c r="D63">
        <v>21</v>
      </c>
      <c r="E63" t="s">
        <v>32</v>
      </c>
      <c r="F63" t="s">
        <v>46</v>
      </c>
      <c r="G63" t="s">
        <v>50</v>
      </c>
      <c r="H63" s="25" t="s">
        <v>56</v>
      </c>
      <c r="I63" t="str">
        <f t="shared" si="0"/>
        <v>=Inputs!AG$2</v>
      </c>
    </row>
    <row r="64" spans="1:9" x14ac:dyDescent="0.25">
      <c r="A64" s="3">
        <f>Inputs!AX$2</f>
        <v>0</v>
      </c>
      <c r="D64">
        <v>22</v>
      </c>
      <c r="E64" t="s">
        <v>32</v>
      </c>
      <c r="F64" t="s">
        <v>46</v>
      </c>
      <c r="G64" t="s">
        <v>51</v>
      </c>
      <c r="H64" s="25" t="s">
        <v>56</v>
      </c>
      <c r="I64" t="str">
        <f t="shared" si="0"/>
        <v>=Inputs!AH$2</v>
      </c>
    </row>
    <row r="65" spans="1:9" x14ac:dyDescent="0.25">
      <c r="A65" s="3">
        <f>Inputs!AY$2</f>
        <v>0</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8</v>
      </c>
      <c r="D68">
        <v>26</v>
      </c>
      <c r="E68" t="s">
        <v>32</v>
      </c>
      <c r="F68" t="s">
        <v>46</v>
      </c>
      <c r="G68" t="s">
        <v>55</v>
      </c>
      <c r="H68" s="25" t="s">
        <v>56</v>
      </c>
      <c r="I68" t="str">
        <f t="shared" si="0"/>
        <v>=Inputs!AL$2</v>
      </c>
    </row>
    <row r="69" spans="1:9" x14ac:dyDescent="0.25">
      <c r="A69" s="3">
        <f>Inputs!C3</f>
        <v>4</v>
      </c>
      <c r="D69">
        <v>27</v>
      </c>
      <c r="E69" t="s">
        <v>32</v>
      </c>
      <c r="F69" t="s">
        <v>46</v>
      </c>
      <c r="G69" t="s">
        <v>33</v>
      </c>
      <c r="H69" s="25" t="s">
        <v>56</v>
      </c>
      <c r="I69" t="str">
        <f t="shared" si="0"/>
        <v>=Inputs!AM$2</v>
      </c>
    </row>
    <row r="70" spans="1:9" x14ac:dyDescent="0.25">
      <c r="A70" s="3">
        <f>Inputs!N$2</f>
        <v>5</v>
      </c>
      <c r="D70">
        <v>28</v>
      </c>
      <c r="E70" t="s">
        <v>32</v>
      </c>
      <c r="F70" t="s">
        <v>46</v>
      </c>
      <c r="G70" t="s">
        <v>34</v>
      </c>
      <c r="H70" s="25" t="s">
        <v>56</v>
      </c>
      <c r="I70" t="str">
        <f t="shared" si="0"/>
        <v>=Inputs!AN$2</v>
      </c>
    </row>
    <row r="71" spans="1:9" x14ac:dyDescent="0.25">
      <c r="A71" s="3">
        <f>Inputs!O$2</f>
        <v>6</v>
      </c>
      <c r="D71">
        <v>29</v>
      </c>
      <c r="E71" t="s">
        <v>32</v>
      </c>
      <c r="F71" t="s">
        <v>46</v>
      </c>
      <c r="G71" t="s">
        <v>35</v>
      </c>
      <c r="H71" s="25" t="s">
        <v>56</v>
      </c>
      <c r="I71" t="str">
        <f t="shared" si="0"/>
        <v>=Inputs!AO$2</v>
      </c>
    </row>
    <row r="72" spans="1:9" x14ac:dyDescent="0.25">
      <c r="A72" s="3">
        <f>Inputs!R$2</f>
        <v>12</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9</v>
      </c>
      <c r="D74">
        <v>32</v>
      </c>
      <c r="E74" t="s">
        <v>32</v>
      </c>
      <c r="F74" t="s">
        <v>46</v>
      </c>
      <c r="G74" t="s">
        <v>38</v>
      </c>
      <c r="H74" s="25" t="s">
        <v>56</v>
      </c>
      <c r="I74" t="str">
        <f t="shared" si="0"/>
        <v>=Inputs!AR$2</v>
      </c>
    </row>
    <row r="75" spans="1:9" x14ac:dyDescent="0.25">
      <c r="A75" s="3">
        <f>Inputs!C5</f>
        <v>10</v>
      </c>
      <c r="D75">
        <v>33</v>
      </c>
      <c r="E75" t="s">
        <v>32</v>
      </c>
      <c r="F75" t="s">
        <v>46</v>
      </c>
      <c r="G75" t="s">
        <v>39</v>
      </c>
      <c r="H75" s="25" t="s">
        <v>56</v>
      </c>
      <c r="I75" t="str">
        <f t="shared" si="0"/>
        <v>=Inputs!AS$2</v>
      </c>
    </row>
    <row r="76" spans="1:9" x14ac:dyDescent="0.25">
      <c r="A76" s="3" t="e">
        <f>Inputs!#REF!</f>
        <v>#REF!</v>
      </c>
      <c r="D76">
        <v>34</v>
      </c>
      <c r="E76" t="s">
        <v>32</v>
      </c>
      <c r="F76" t="s">
        <v>46</v>
      </c>
      <c r="G76" t="s">
        <v>40</v>
      </c>
      <c r="H76" s="25" t="s">
        <v>56</v>
      </c>
      <c r="I76" t="str">
        <f t="shared" si="0"/>
        <v>=Inputs!AT$2</v>
      </c>
    </row>
    <row r="77" spans="1:9" x14ac:dyDescent="0.25">
      <c r="A77" s="3" t="e">
        <f>Inputs!#REF!</f>
        <v>#REF!</v>
      </c>
      <c r="D77">
        <v>35</v>
      </c>
      <c r="E77" t="s">
        <v>32</v>
      </c>
      <c r="F77" t="s">
        <v>46</v>
      </c>
      <c r="G77" t="s">
        <v>41</v>
      </c>
      <c r="H77" s="25" t="s">
        <v>56</v>
      </c>
      <c r="I77" t="str">
        <f t="shared" si="0"/>
        <v>=Inputs!AU$2</v>
      </c>
    </row>
    <row r="78" spans="1:9" x14ac:dyDescent="0.25">
      <c r="A78" s="3" t="e">
        <f>Inputs!#REF!</f>
        <v>#REF!</v>
      </c>
      <c r="D78">
        <v>36</v>
      </c>
      <c r="E78" t="s">
        <v>32</v>
      </c>
      <c r="F78" t="s">
        <v>46</v>
      </c>
      <c r="G78" t="s">
        <v>2</v>
      </c>
      <c r="H78" s="25" t="s">
        <v>56</v>
      </c>
      <c r="I78" t="str">
        <f t="shared" si="0"/>
        <v>=Inputs!AV$2</v>
      </c>
    </row>
    <row r="79" spans="1:9" x14ac:dyDescent="0.25">
      <c r="A79" s="3" t="e">
        <f>Inputs!#REF!</f>
        <v>#REF!</v>
      </c>
      <c r="D79">
        <v>37</v>
      </c>
      <c r="E79" t="s">
        <v>32</v>
      </c>
      <c r="F79" t="s">
        <v>46</v>
      </c>
      <c r="G79" t="s">
        <v>42</v>
      </c>
      <c r="H79" s="25" t="s">
        <v>56</v>
      </c>
      <c r="I79" t="str">
        <f t="shared" si="0"/>
        <v>=Inputs!AW$2</v>
      </c>
    </row>
    <row r="80" spans="1:9" x14ac:dyDescent="0.25">
      <c r="A80" s="3" t="e">
        <f>Inputs!#REF!</f>
        <v>#REF!</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Inputs!C20</f>
        <v>26</v>
      </c>
      <c r="D88">
        <v>46</v>
      </c>
      <c r="E88" t="s">
        <v>32</v>
      </c>
      <c r="F88" t="s">
        <v>30</v>
      </c>
      <c r="G88" t="s">
        <v>49</v>
      </c>
      <c r="H88" s="25" t="s">
        <v>56</v>
      </c>
      <c r="I88" t="str">
        <f t="shared" si="0"/>
        <v>=Inputs!BF$2</v>
      </c>
    </row>
    <row r="89" spans="1:9" x14ac:dyDescent="0.25">
      <c r="A89" s="3">
        <f>Inputs!C21</f>
        <v>27</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Inputs!C22</f>
        <v>28</v>
      </c>
    </row>
    <row r="96" spans="1:9" x14ac:dyDescent="0.25">
      <c r="A96" s="3" t="e">
        <f>Inputs!#REF!</f>
        <v>#REF!</v>
      </c>
    </row>
    <row r="97" spans="1:1" x14ac:dyDescent="0.25">
      <c r="A97" s="3">
        <f>Inputs!C23</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Inputs!C24</f>
        <v>32</v>
      </c>
    </row>
    <row r="109" spans="1:1" x14ac:dyDescent="0.25">
      <c r="A109" s="3">
        <f>Inputs!C25</f>
        <v>33</v>
      </c>
    </row>
    <row r="110" spans="1:1" x14ac:dyDescent="0.25">
      <c r="A110" s="3">
        <f>Inputs!C26</f>
        <v>34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election activeCell="H16" sqref="H16"/>
    </sheetView>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6</v>
      </c>
      <c r="D5" t="str">
        <f>Data1!C3</f>
        <v>0330</v>
      </c>
      <c r="E5" t="str">
        <f>Data1!D3</f>
        <v>000483631211</v>
      </c>
      <c r="F5" t="str">
        <f>Data1!E3</f>
        <v>0001</v>
      </c>
      <c r="G5" t="str">
        <f>Data1!F3</f>
        <v>10n</v>
      </c>
      <c r="H5" t="str">
        <f>Data1!M3</f>
        <v>2020052006000000</v>
      </c>
      <c r="I5" t="str">
        <f>Data1!H3</f>
        <v>1</v>
      </c>
      <c r="J5" t="str">
        <f>Data1!I3</f>
        <v>00846719</v>
      </c>
      <c r="K5" t="str">
        <f>Data1!J3</f>
        <v>00052541</v>
      </c>
      <c r="L5" t="str">
        <f>Data1!K3</f>
        <v>****</v>
      </c>
      <c r="M5" t="str">
        <f>Data1!L3</f>
        <v>***</v>
      </c>
      <c r="N5" t="e">
        <f>Data1!#REF!</f>
        <v>#REF!</v>
      </c>
      <c r="P5" t="str">
        <f>Data1!N3</f>
        <v>0229</v>
      </c>
      <c r="Q5" t="str">
        <f>Data1!O3</f>
        <v>0178</v>
      </c>
      <c r="R5" t="str">
        <f>Data1!P3</f>
        <v>000.00</v>
      </c>
      <c r="S5" t="str">
        <f>Data1!Q3</f>
        <v>000.00</v>
      </c>
      <c r="T5" t="str">
        <f>Data1!R3</f>
        <v>003.00</v>
      </c>
      <c r="U5" t="str">
        <f>Data1!S3</f>
        <v>003.00</v>
      </c>
      <c r="V5" t="str">
        <f>Data1!T3</f>
        <v>003.00</v>
      </c>
      <c r="W5" t="str">
        <f>Data1!U3</f>
        <v>01</v>
      </c>
    </row>
    <row r="6" spans="1:23" x14ac:dyDescent="0.25">
      <c r="A6" t="str">
        <f>Data1!A4</f>
        <v>D</v>
      </c>
      <c r="B6" t="str">
        <f>Data1!B4</f>
        <v>6</v>
      </c>
      <c r="D6" t="str">
        <f>Data1!C4</f>
        <v>0330</v>
      </c>
      <c r="E6" t="str">
        <f>Data1!D4</f>
        <v>000483631212</v>
      </c>
      <c r="F6" t="str">
        <f>Data1!E4</f>
        <v>0002</v>
      </c>
      <c r="G6" t="str">
        <f>Data1!F4</f>
        <v>012</v>
      </c>
      <c r="H6" t="str">
        <f>Data1!M4</f>
        <v>2020052107000000</v>
      </c>
      <c r="I6" t="str">
        <f>Data1!H4</f>
        <v>1</v>
      </c>
      <c r="J6" t="str">
        <f>Data1!I4</f>
        <v>00846720</v>
      </c>
      <c r="K6" t="str">
        <f>Data1!J4</f>
        <v>00052542</v>
      </c>
      <c r="L6" t="str">
        <f>Data1!K4</f>
        <v>****</v>
      </c>
      <c r="M6" t="str">
        <f>Data1!L4</f>
        <v>***</v>
      </c>
      <c r="N6" t="e">
        <f>Data1!#REF!</f>
        <v>#REF!</v>
      </c>
      <c r="P6" t="str">
        <f>Data1!N4</f>
        <v>0229</v>
      </c>
      <c r="Q6" t="str">
        <f>Data1!O4</f>
        <v>0178</v>
      </c>
      <c r="R6" t="str">
        <f>Data1!P4</f>
        <v>000.00</v>
      </c>
      <c r="S6" t="str">
        <f>Data1!Q4</f>
        <v>000.00</v>
      </c>
      <c r="T6" t="str">
        <f>Data1!R4</f>
        <v>003.00</v>
      </c>
      <c r="U6" t="str">
        <f>Data1!S4</f>
        <v>003.00</v>
      </c>
      <c r="V6" t="str">
        <f>Data1!T4</f>
        <v>003.00</v>
      </c>
      <c r="W6" t="str">
        <f>Data1!U4</f>
        <v>01</v>
      </c>
    </row>
    <row r="7" spans="1:23" x14ac:dyDescent="0.25">
      <c r="A7" t="str">
        <f>Data1!A5</f>
        <v>D</v>
      </c>
      <c r="B7" t="str">
        <f>Data1!B5</f>
        <v>6</v>
      </c>
      <c r="D7" t="str">
        <f>Data1!C5</f>
        <v>0330</v>
      </c>
      <c r="E7" t="str">
        <f>Data1!D5</f>
        <v>000483631213</v>
      </c>
      <c r="F7" t="str">
        <f>Data1!E5</f>
        <v>0007</v>
      </c>
      <c r="G7" t="str">
        <f>Data1!F5</f>
        <v>022</v>
      </c>
      <c r="H7" t="str">
        <f>Data1!M5</f>
        <v>2020052208000000</v>
      </c>
      <c r="I7" t="str">
        <f>Data1!H5</f>
        <v>1</v>
      </c>
      <c r="J7" t="str">
        <f>Data1!I5</f>
        <v>00846721</v>
      </c>
      <c r="K7" t="str">
        <f>Data1!J5</f>
        <v>00052543</v>
      </c>
      <c r="L7" t="str">
        <f>Data1!K5</f>
        <v>****</v>
      </c>
      <c r="M7" t="str">
        <f>Data1!L5</f>
        <v>***</v>
      </c>
      <c r="N7" t="e">
        <f>Data1!#REF!</f>
        <v>#REF!</v>
      </c>
      <c r="P7" t="str">
        <f>Data1!N5</f>
        <v>0229</v>
      </c>
      <c r="Q7" t="str">
        <f>Data1!O5</f>
        <v>0178</v>
      </c>
      <c r="R7" t="str">
        <f>Data1!P5</f>
        <v>000.00</v>
      </c>
      <c r="S7" t="str">
        <f>Data1!Q5</f>
        <v>000.00</v>
      </c>
      <c r="T7" t="str">
        <f>Data1!R5</f>
        <v>003.00</v>
      </c>
      <c r="U7" t="str">
        <f>Data1!S5</f>
        <v>003.00</v>
      </c>
      <c r="V7" t="str">
        <f>Data1!T5</f>
        <v>003.00</v>
      </c>
      <c r="W7" t="str">
        <f>Data1!U5</f>
        <v>01</v>
      </c>
    </row>
    <row r="8" spans="1:23" x14ac:dyDescent="0.25">
      <c r="A8">
        <f>Data1!A6</f>
        <v>0</v>
      </c>
      <c r="B8">
        <f>Data1!B6</f>
        <v>0</v>
      </c>
      <c r="D8">
        <f>Data1!C6</f>
        <v>0</v>
      </c>
      <c r="E8">
        <f>Data1!D6</f>
        <v>0</v>
      </c>
      <c r="F8">
        <f>Data1!E6</f>
        <v>0</v>
      </c>
      <c r="G8">
        <f>Data1!F6</f>
        <v>0</v>
      </c>
      <c r="H8">
        <f>Data1!M6</f>
        <v>0</v>
      </c>
      <c r="I8">
        <f>Data1!H6</f>
        <v>0</v>
      </c>
      <c r="J8">
        <f>Data1!I6</f>
        <v>0</v>
      </c>
      <c r="K8">
        <f>Data1!J6</f>
        <v>0</v>
      </c>
      <c r="L8">
        <f>Data1!K6</f>
        <v>0</v>
      </c>
      <c r="M8">
        <f>Data1!L6</f>
        <v>0</v>
      </c>
      <c r="N8" t="e">
        <f>Data1!#REF!</f>
        <v>#REF!</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Data1!M7</f>
        <v>0</v>
      </c>
      <c r="I9">
        <f>Data1!H7</f>
        <v>0</v>
      </c>
      <c r="J9">
        <f>Data1!I7</f>
        <v>0</v>
      </c>
      <c r="K9">
        <f>Data1!J7</f>
        <v>0</v>
      </c>
      <c r="L9">
        <f>Data1!K7</f>
        <v>0</v>
      </c>
      <c r="M9">
        <f>Data1!L7</f>
        <v>0</v>
      </c>
      <c r="N9" t="e">
        <f>Data1!#REF!</f>
        <v>#REF!</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Data1!M8</f>
        <v>0</v>
      </c>
      <c r="I10">
        <f>Data1!H8</f>
        <v>0</v>
      </c>
      <c r="J10">
        <f>Data1!I8</f>
        <v>0</v>
      </c>
      <c r="K10">
        <f>Data1!J8</f>
        <v>0</v>
      </c>
      <c r="L10">
        <f>Data1!K8</f>
        <v>0</v>
      </c>
      <c r="M10">
        <f>Data1!L8</f>
        <v>0</v>
      </c>
      <c r="N10" t="e">
        <f>Data1!#REF!</f>
        <v>#REF!</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Data1!M9</f>
        <v>0</v>
      </c>
      <c r="I11">
        <f>Data1!H9</f>
        <v>0</v>
      </c>
      <c r="J11">
        <f>Data1!I9</f>
        <v>0</v>
      </c>
      <c r="K11">
        <f>Data1!J9</f>
        <v>0</v>
      </c>
      <c r="L11">
        <f>Data1!K9</f>
        <v>0</v>
      </c>
      <c r="M11">
        <f>Data1!L9</f>
        <v>0</v>
      </c>
      <c r="N11" t="e">
        <f>Data1!#REF!</f>
        <v>#REF!</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Data1!M10</f>
        <v>0</v>
      </c>
      <c r="I12">
        <f>Data1!H10</f>
        <v>0</v>
      </c>
      <c r="J12">
        <f>Data1!I10</f>
        <v>0</v>
      </c>
      <c r="K12">
        <f>Data1!J10</f>
        <v>0</v>
      </c>
      <c r="L12">
        <f>Data1!K10</f>
        <v>0</v>
      </c>
      <c r="M12">
        <f>Data1!L10</f>
        <v>0</v>
      </c>
      <c r="N12" t="e">
        <f>Data1!#REF!</f>
        <v>#REF!</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t="str">
        <f>Data1!G3</f>
        <v>2020052006000000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t="str">
        <f>Data1!G4</f>
        <v>2020052107000000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t="str">
        <f>Data1!G5</f>
        <v>2020052208000000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Data1!G6</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t="e">
        <f>Data1!#REF!</f>
        <v>#REF!</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t="e">
        <f>Data1!#REF!</f>
        <v>#REF!</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t="e">
        <f>Data1!#REF!</f>
        <v>#REF!</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t="e">
        <f>Data1!#REF!</f>
        <v>#REF!</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t="e">
        <f>Data1!#REF!</f>
        <v>#REF!</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Revision</vt:lpstr>
      <vt:lpstr>Help</vt:lpstr>
      <vt:lpstr>Inputs</vt:lpstr>
      <vt:lpstr>Data1</vt:lpstr>
      <vt:lpstr>Data2</vt:lpstr>
      <vt:lpstr>Temp</vt:lpstr>
      <vt:lpstr>Correction</vt:lpstr>
      <vt:lpstr>Number_of_Fields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Kudva, Sandeep</cp:lastModifiedBy>
  <dcterms:created xsi:type="dcterms:W3CDTF">2012-08-21T09:17:55Z</dcterms:created>
  <dcterms:modified xsi:type="dcterms:W3CDTF">2020-06-18T08:56:40Z</dcterms:modified>
</cp:coreProperties>
</file>